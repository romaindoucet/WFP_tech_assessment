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koen_peters_wfp_org/Documents/Recruitment/2026 data scientists/Technical assessment/"/>
    </mc:Choice>
  </mc:AlternateContent>
  <xr:revisionPtr revIDLastSave="191" documentId="13_ncr:1_{C053A84B-FEF4-4EEC-8C87-5D5899B902AB}" xr6:coauthVersionLast="47" xr6:coauthVersionMax="47" xr10:uidLastSave="{66419FAE-BE9E-4E37-8BE4-9E6FA9C767DF}"/>
  <bookViews>
    <workbookView xWindow="18060" yWindow="2070" windowWidth="18960" windowHeight="15345" xr2:uid="{09D9BFA4-F9A8-4E57-9456-938BDEF0A53F}"/>
  </bookViews>
  <sheets>
    <sheet name="Storage Report" sheetId="2" r:id="rId1"/>
    <sheet name="Product Details" sheetId="3" r:id="rId2"/>
    <sheet name="Q3" sheetId="5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9" i="5"/>
  <c r="F10" i="5"/>
  <c r="F11" i="5"/>
  <c r="F12" i="5"/>
  <c r="F5" i="5"/>
  <c r="E6" i="5"/>
  <c r="E7" i="5"/>
  <c r="E8" i="5"/>
  <c r="E9" i="5"/>
  <c r="E10" i="5"/>
  <c r="E11" i="5"/>
  <c r="E12" i="5"/>
  <c r="E5" i="5"/>
  <c r="D6" i="5"/>
  <c r="D7" i="5"/>
  <c r="D8" i="5"/>
  <c r="D9" i="5"/>
  <c r="D10" i="5"/>
  <c r="D11" i="5"/>
  <c r="D12" i="5"/>
  <c r="D5" i="5"/>
</calcChain>
</file>

<file path=xl/sharedStrings.xml><?xml version="1.0" encoding="utf-8"?>
<sst xmlns="http://schemas.openxmlformats.org/spreadsheetml/2006/main" count="3561" uniqueCount="500">
  <si>
    <t>event label</t>
  </si>
  <si>
    <t>date value</t>
  </si>
  <si>
    <t>event line IU quantity</t>
  </si>
  <si>
    <t>inventory unit (IU)</t>
  </si>
  <si>
    <t>event line HU quantity</t>
  </si>
  <si>
    <t>handling unit (HU)</t>
  </si>
  <si>
    <t>event line weight (mT)</t>
  </si>
  <si>
    <t>event line volume (m3)</t>
  </si>
  <si>
    <t>event line value (USD)</t>
  </si>
  <si>
    <t>product category</t>
  </si>
  <si>
    <t>product owner reference</t>
  </si>
  <si>
    <t>product description</t>
  </si>
  <si>
    <t>Opening Stock on Hand - Good Condition</t>
  </si>
  <si>
    <t>Each</t>
  </si>
  <si>
    <t>None/Loose</t>
  </si>
  <si>
    <t>Health</t>
  </si>
  <si>
    <t>COTON hydrophile, rouleau, 500 g(Suzhou Hengxiang Imp. &amp; Exp.Co, Ltd, china)</t>
  </si>
  <si>
    <t>Box/Carton</t>
  </si>
  <si>
    <t>PRESERVATIF MASCULIN, lubrifié + RESERVOIR, u.u.(KAREX INDUSTRIES, MALAYSIA)</t>
  </si>
  <si>
    <t>PRESERVATIF FEMININ, lubrifié, 170 mm, u.u. (CUPID LTD,INDIA)</t>
  </si>
  <si>
    <t/>
  </si>
  <si>
    <t>ETHANOL, dénaturé, 70%, 1 l, fl.</t>
  </si>
  <si>
    <t>LAMIVUDINE [3TC], 150 mg, comp.(MYLAN LAB LTD,INDIA)</t>
  </si>
  <si>
    <t>STREPTOMYCINE sulfate, éq. 1 g base, poudre, fl.(Lab. REIG JOFRE, SPAIN)</t>
  </si>
  <si>
    <t>DARUNAVIR éthanolate [DRV], éq. 600 mg base, comp.(Janssen Ortho LLC,Italy)</t>
  </si>
  <si>
    <t>ISONIAZIDE [H], 300 mg, comp., blister(OXALIS LABS, INDIA)</t>
  </si>
  <si>
    <t>PYRAZINAMIDE [Z], 400 mg, comp., blister(OXALIS LABS.BADDI, INDIA)</t>
  </si>
  <si>
    <t>H 75 mg / R 150 mg, comp., blister(LUPIN LTD, INDIA)</t>
  </si>
  <si>
    <t>H 50 mg / R 75 mg, comp. disp., blister(LUPIN LTD, INDIA)</t>
  </si>
  <si>
    <t>H 50 mg / Z 150 mg / R 75 mg, comp. disp., blister(LUPIN LTD, INDIA)</t>
  </si>
  <si>
    <t>GANT D'EXAMEN, latex, u.u. non stérile, moyen(QUALATEX POLYPHARM, MALAYSIA)</t>
  </si>
  <si>
    <t>LPV 200 mg / r 50 mg, comp.(MYLAN LAB LTD,INDIA)</t>
  </si>
  <si>
    <t>TDF 300 mg / FTC 200 mg, comp.(MYLAN LAB LTD,INDIA)</t>
  </si>
  <si>
    <t>ZIDOVUDINE [AZT], 300 mg, comp.(MYLAN LAB LTD,INDIA)</t>
  </si>
  <si>
    <t>SLASWATE1B1;</t>
  </si>
  <si>
    <t>EAU DISTILLEE, 1 l, fl.(BAKKER-HAVU B.V.)</t>
  </si>
  <si>
    <t>LUBRIFIANT à usage général, soluble ds l'eau, gel, 82g, tube(Optimum Medical Solutions,UK)</t>
  </si>
  <si>
    <t>RALTEGRAVIR potassique [RAL], éq. 400 mg base, comp.(MSD IDEA AG, Switzerland)</t>
  </si>
  <si>
    <t>AZT 300 mg / 3TC 150 mg / NVP 200 mg, comp.(MYLAN LAB LTD,INDIA)</t>
  </si>
  <si>
    <t>EAU pour injection, 10 ml, amp. plastique(Aculife Healthcare Pvt.Ltd, India)</t>
  </si>
  <si>
    <t>RALTEGRAVIR potassique [RAL], éq. 400 mg base, comp.(Zhejiang Huahai Pharmaceutical Co.Ltd, China)</t>
  </si>
  <si>
    <t>ELAEHAEE3--;</t>
  </si>
  <si>
    <t>PHOTOMETRE HEMOGLOBINE [HemoCue Hb 301], tropicalisé(COPACK GmbH, GERMANY)</t>
  </si>
  <si>
    <t>EMEQOTOS1--;</t>
  </si>
  <si>
    <t>OTOSCOPE, halogène + SPECULUMS(HEINE Optotechnik GmbH &amp; Co, Germany)</t>
  </si>
  <si>
    <t>EMEQSTET2--;</t>
  </si>
  <si>
    <t>STETHOSCOPE, double, 2 diaphragmes, adulte / enfant(Zhuji Kangfu Instrument Machinery,China)</t>
  </si>
  <si>
    <t>PCOLTHER35A;</t>
  </si>
  <si>
    <t>THERMOMETRE à alcool [Moëller 104614] -30°C-+50C°(TROGE MEDICAL GMBH, GERMANY)</t>
  </si>
  <si>
    <t>EMEQTOUR1--;</t>
  </si>
  <si>
    <t>GARROT élastique, 100 x 1,8 cm°(NP)</t>
  </si>
  <si>
    <t>SCTDTUGA08-;</t>
  </si>
  <si>
    <t>SONDE GASTRIQUE, embout conique, 125 cm, u.u., CH08(TYCO HEALTHCARE GROUP LP,USA)</t>
  </si>
  <si>
    <t>SDREBANE104;</t>
  </si>
  <si>
    <t>BANDE CREPE [Velpeau], 10 cm x 4 m(ANJI ANSHEN SURGICAL DRESSINGS Co.Ltd, CHINA)</t>
  </si>
  <si>
    <t>SINSSYDL60-;</t>
  </si>
  <si>
    <t>SERINGUE, u.u., Luer, 60 ml(TYCO HEALTHCARE GROUP LP,USA)</t>
  </si>
  <si>
    <t>ELABCYLG0100;</t>
  </si>
  <si>
    <t>EPROUVETTE, verre, graduée, à bec verseur 100 ml(VITLAB, GERMANY)</t>
  </si>
  <si>
    <t>SINSCONT5C-;</t>
  </si>
  <si>
    <t>CONTAINER, aiguilles/seringues, 5 l, carton pr incinération(HINDUSTANSYRINGES &amp; MEDICAL DIVICES LTD,INDIA)</t>
  </si>
  <si>
    <t>PRESERVATIF FEMININ, lubrifié, 170 mm, u.u.(CUPID LTD,INDIA)</t>
  </si>
  <si>
    <t>STSSCONT1S-;</t>
  </si>
  <si>
    <t>POT A PRELEVEMENT, crachoir, plastique, non stérile()</t>
  </si>
  <si>
    <t>PTOOSCALA1510;</t>
  </si>
  <si>
    <t>BALANCE sur piles, AC, 0-150kg, grad. 100g()</t>
  </si>
  <si>
    <t>ELABBOTW0250;</t>
  </si>
  <si>
    <t>PISSETTE, col de cygne, plastique, 250 ml(Fisherbrand, USA)</t>
  </si>
  <si>
    <t>ESTETIME1--;</t>
  </si>
  <si>
    <t>MINUTEUR DE TABLE, 60 mn(NP)</t>
  </si>
  <si>
    <t>ELAECD4E1--;</t>
  </si>
  <si>
    <t>ANALYSEUR CD4 [PARTEC], 100-240V, 50-60Hz(Partec GmbH, Germany)</t>
  </si>
  <si>
    <t>Bag/Sack</t>
  </si>
  <si>
    <t>ELABPIATB--;</t>
  </si>
  <si>
    <t>[pip.aut.] EMBOUT BLEU, 50-1000µl [Eppdf](Plastibrand, Germany)</t>
  </si>
  <si>
    <t>ELABPIATY--;</t>
  </si>
  <si>
    <t>[pip.aut.] EMBOUT JAUNE, 2-200µl [Eppdf](Plastibrand, Germany)</t>
  </si>
  <si>
    <t>SINSCONT2P-;</t>
  </si>
  <si>
    <t>CONTAINER,regulated medical waste [UN3291](Fischer Brand, Canada)</t>
  </si>
  <si>
    <t>EAU pour injection, 5 ml, amp. plastique(LABESFAL-Laboratorios Almiro,Portugal)</t>
  </si>
  <si>
    <t>GLYCEROL ANHYDROUS 2.5L(APPLICHEM)</t>
  </si>
  <si>
    <t>ELABTUCER1-;</t>
  </si>
  <si>
    <t>[tube à centrifuger, Ø 18 mm] PORTOIR(NALGENE,USA)</t>
  </si>
  <si>
    <t>PROPANEDOL 2.5 L(REAGENT CHEMICAL SERVICES LIMITED)</t>
  </si>
  <si>
    <t>PARTEC</t>
  </si>
  <si>
    <t>STSSBSVVH1-;</t>
  </si>
  <si>
    <t>[s.prél.sang.] CORPS PORTE TUBE avec éjecteur d'aiguille(Greiner bio-one, Austria)</t>
  </si>
  <si>
    <t>ELABPIAA1000;</t>
  </si>
  <si>
    <t>PIPETTE AUTOMATIQUE, vol. réglable 100-1000 µl [Eppendorf](Eppendorf, Germany)</t>
  </si>
  <si>
    <t>ELABPIAA0200;</t>
  </si>
  <si>
    <t>PIPETTE AUTOMATIQUE, vol. réglable 20-200 µl [Eppendorf](Eppendorf, Germany)</t>
  </si>
  <si>
    <t>ELABPIAA0100;</t>
  </si>
  <si>
    <t>PIPETTE AUTOMATIQUE, vol. réglable 10-100 µl [Eppendorf](Eppendorf, Germany)</t>
  </si>
  <si>
    <t>ELABMILP1--;</t>
  </si>
  <si>
    <t>MANCHE PASTEUR + anse, nickel chrome()</t>
  </si>
  <si>
    <t>SAC A POUBELLE, 30 L(VOUSSERT, France)</t>
  </si>
  <si>
    <t>[CD4 Analyseur Partec] TRANSFORMATEUR()</t>
  </si>
  <si>
    <t>SERINGUE, u.u., Luer, 5 ml(Hindustan syringes &amp; medical service , India)</t>
  </si>
  <si>
    <t>Kit/Set</t>
  </si>
  <si>
    <t>TEST VIH 1 + 2 [Uni-Gold], sér/pl/st, 1 test 1206502(TRINITY BIOTECH PLC, IRELAND)</t>
  </si>
  <si>
    <t>EFAVIRENZ [EFV], 600 mg, comp.(CIPLA Ltd, INDIA)</t>
  </si>
  <si>
    <t>AZT 300 mg / 3TC 150 mg, comp.(MYLAN LAB LTD,INDIA)</t>
  </si>
  <si>
    <t>ATV 300 mg / r 100 mg, comp.(MYLAN LAB LTD,INDIA)</t>
  </si>
  <si>
    <t>RITONAVIR [r], 100 mg, comp.(AbbVie Deutschland GmbH &amp; Co. KG, Knollstrasse, 67061 Ludwigshafen, Germany)</t>
  </si>
  <si>
    <t>H 50 mg / R 75 mg, comp. disp., blister(OXALIS LABS, INDIA)</t>
  </si>
  <si>
    <t>H 50 mg / Z 150 mg / R 75 mg, comp. disp., blister(OXALIS LABS, INDIA)</t>
  </si>
  <si>
    <t>EFAVIRENZ [EFV], 600 mg, comp.(Aurobindo Pharma Limited, India)</t>
  </si>
  <si>
    <t>EAU pour injection, 10 ml, amp. plastique(Otsuka Pceutical , India)</t>
  </si>
  <si>
    <t>ABC 600 mg / 3TC 300 mg, comp.(MYLAN LAB LTD,INDIA)</t>
  </si>
  <si>
    <t>LAMIVUDINE [3TC], 150 mg, comp.(MACLEODS PHARMACEUTICAL LIMITED,INDIA)</t>
  </si>
  <si>
    <t>NEVIRAPINE [NVP], 200 mg, comp. (MYLAN LAB LTD,INDIA)</t>
  </si>
  <si>
    <t>DARUNAVIR éthanolate [DRV], éq. 600 mg base, comp.(HETERO LABS Ltd, India)</t>
  </si>
  <si>
    <t>ABC 600 mg / 3TC 300 mg, comp.(MYLAN LAB LTD,INDIA):3095052</t>
  </si>
  <si>
    <t>TEST VIH 1 + 2 [Determine], sér/pl/st, 1 test 7D2343(ALERE MEDICAL Co. Ltd, Japan)</t>
  </si>
  <si>
    <t>E 275 mg / H 75 mg / R 150 mg, comp., blister(LUPIN LTD, INDIA)</t>
  </si>
  <si>
    <t>E 275 mg / H 75 mg / Z 400 mg / R 150 mg, comp., blister(LUPIN LTD, INDIA)</t>
  </si>
  <si>
    <t>RALTEGRAVIR potassique [RAL], éq. 400 mg base, comp.(Zhejiang Huahai Pharmaceutical Co.Ltd, China):168C18008</t>
  </si>
  <si>
    <t>TDF 300 mg / FTC 200 mg / EFV 600 mg, comp.(Strides Pharma Science LTD, India)</t>
  </si>
  <si>
    <t>CLOFAZIMINE, 100 mg, caps. molle(Novartis Pharma, France):JC2600</t>
  </si>
  <si>
    <t>PYRAZINAMIDE [Z], 400 mg, comp., blister(OXALIS LABS.BADDI, INDIA):NPB805A</t>
  </si>
  <si>
    <t>ETHAMBUTOL chlorhydrate [E], éq. 400 mg base, comp. blister(Svizera Labs Pvt Ltd, India):SL485</t>
  </si>
  <si>
    <t>CONTAINER, aiguilles/seringues, 5 l, carton pr incinération(HINDUSTAN SYRINGES &amp; MEDICAL DIVICES LTD,INDIA):10171</t>
  </si>
  <si>
    <t>MOXIFLOXACINE chlorhydrate, éq 400 mg base, comp.(MSN LABS,Pvt, Ltd, India):BT1805102B</t>
  </si>
  <si>
    <t>SERINGUE, u.u., Luer, 5 ml(Hindustan syringes &amp; medical service , India):1483J41</t>
  </si>
  <si>
    <t>PROTHIONAMIDE, 250 mg, comp., blister(Micro Labs Hosur, India):PTOHH0076</t>
  </si>
  <si>
    <t>AMIKACINE sulfate, éq. 500mg/ml base, 2 ml, amp.(Medochemie Ltd,Cyprus):A301AH</t>
  </si>
  <si>
    <t>AMIKACINE sulfate, éq. 500mg/ml base, 2 ml, amp.(Medochemie Ltd,Cyprus):A516AH</t>
  </si>
  <si>
    <t>AZT 300 mg / 3TC 150 mg, comp.(MYLAN LAB LTD,INDIA):3092381</t>
  </si>
  <si>
    <t>AZT 300 mg / 3TC 150 mg, comp.(MYLAN LAB LTD,INDIA):3091780</t>
  </si>
  <si>
    <t>AZT 300 mg / 3TC 150 mg, comp.(MYLAN LAB LTD,INDIA):3091781</t>
  </si>
  <si>
    <t>AZT 300 mg / 3TC 150 mg, comp.(MYLAN LAB LTD,INDIA):8084242</t>
  </si>
  <si>
    <t>EFAVIRENZ [EFV], 600 mg, comp.(CIPLA Ltd, INDIA):GG80682</t>
  </si>
  <si>
    <t>RALTEGRAVIR potassique [RAL], éq. 400 mg base, comp.(Zhejiang Huahai Pharmaceutical Co.Ltd, China):168C18006</t>
  </si>
  <si>
    <t>RALTEGRAVIR potassique [RAL], éq. 400 mg base, comp.(Zhejiang Huahai Pharmaceutical Co.Ltd, China):168C18007</t>
  </si>
  <si>
    <t>RALTEGRAVIR potassique [RAL], éq. 400 mg base, comp.(Zhejiang Huahai Pharmaceutical Co.Ltd, China):168C18009</t>
  </si>
  <si>
    <t>NYSTATINE, 100.000 UI, vaginal comp.(Macléods Pharmaceuticals Ltd, India)</t>
  </si>
  <si>
    <t>Nystatin,100,000 IU/ml, susp oral.(Universal Corporation Ltd, Netherland)</t>
  </si>
  <si>
    <t>ABC 60 mg / 3TC 30 mg, comp. disp.(MYLAN LAB LTD,INDIA)</t>
  </si>
  <si>
    <t>AZT 60 mg / 3TC 30 mg / NVP 50 mg, comp. dispersible(MYLAN LAB LTD,INDIA)</t>
  </si>
  <si>
    <t>BENZATHINE BENZYLPENICILLINE, 2,4 M UI, poudre, fl.+solvant(CSPC Zhongnu Pharma Co. Ltd,China)</t>
  </si>
  <si>
    <t>CENTRIFUGEUSE à hématocrite électr.(Centurion Scientific Ltd, U.K)</t>
  </si>
  <si>
    <t>CIPROFLOXACINE chlorhydrate, éq. 500 mg base, comp.(Medopharma,India)</t>
  </si>
  <si>
    <t>CLOXACILLINE sodique, éq. 500 mg base, gél.(Medopharma,India)</t>
  </si>
  <si>
    <t>COTRIMOXAZOLE, 800 mg / 160 mg, comp.(Medopharma,India)</t>
  </si>
  <si>
    <t>DOXYCYCLINE sel, éq. 100 mg base, comp.(Medopharma,India)</t>
  </si>
  <si>
    <t>ETHANOL, dénaturé, 95%, 1 l, fl.(Denteck , Netherlands)</t>
  </si>
  <si>
    <t>WASH REAGENT COBAS 5L(Roche Molecular Système Inc,USA)</t>
  </si>
  <si>
    <t>PYRIMETHAMINE, 25 mg, comp.(Mylan Lab Limited,India)</t>
  </si>
  <si>
    <t>PYRIMETHAMINE, 25 mg, comp.(GloxoSmithKline UK)</t>
  </si>
  <si>
    <t>CEFTRIAXONE sodique, éq. 1 g base, poudre, fl.(Reyoung Pharma Co., Ltd., China)</t>
  </si>
  <si>
    <t>NEVIRAPINE [NVP], 50 mg, comp. disp.(CIPLA Ltd, INDIA)</t>
  </si>
  <si>
    <t>NEVIRAPINE [NVP], 50mg/5ml, susp. orale, 100 ml, fl.(CIPLA LTD,INDIA)</t>
  </si>
  <si>
    <t>AMOXICILLINE 250 mg / ac. CLAVULANIQUE 62.5mg/5ml pwd f 100.fl(Micro Labs Ltd. VeerasandraIndia)</t>
  </si>
  <si>
    <t>COTRIMOXAZOLE, 100 mg / 20 mg, comp. disp.(Micro Labs Hosur,India)</t>
  </si>
  <si>
    <t>SELS REHYDRATATION ORALE [SRO]basse osmol. sachet 20,5 g/1l(N.V Pharma,India)</t>
  </si>
  <si>
    <t>LOPERAMIDE chlorhydrate, 2mg, comp.(Medopharm Malur, India)</t>
  </si>
  <si>
    <t>ERYTHROMYCINE stéarate, eq. 500 mg base, comp.(Medopharma Malur,India)</t>
  </si>
  <si>
    <t>METRONIDAZOLE benzoate, eq 200mg/5ml base, susp. orale, 100ml(Purna Pharmaceuticals NV, Belgium)</t>
  </si>
  <si>
    <t>METRONIDAZOLE, 500 mg, comp.(Medopharma Malur,India)</t>
  </si>
  <si>
    <t>LPV 100mg / r 25mg, comp.(Mylan Lab Limited,India)</t>
  </si>
  <si>
    <t>CEFTRIAXONE sodique, éq. 1 g base, poudre, fl.(NCPC Hebei Huamin Pharma Co,China)</t>
  </si>
  <si>
    <t>EFAVIRENZ [EFV], 200 mg, comp. séc.(Strides Shasun  Limited,India)</t>
  </si>
  <si>
    <t>AMOXICILLINE 250 mg / ac. CLAVULANIQUE 62.5mg/5ml pwd f 100.fl(Medochemie Ltd, Cyprus)</t>
  </si>
  <si>
    <t>COTRIMOXAZOLE, 400 mg / 80 mg, comp.(Medopharma,India):7H164</t>
  </si>
  <si>
    <t>NEVIRAPINE [NVP], 50mg/5ml, susp. orale, 100 ml, fl.(CIPLA LTD,INDIA):IA80534</t>
  </si>
  <si>
    <t>GLUCOSE, 5%, 500 ml, poche souple, sans PVC(Shijiazhuang No 4 Pharmqceutical Co.Ltd,China)</t>
  </si>
  <si>
    <t>SULFADOXINE, 500 mg / PYRIMETHAMINE, 25 mg, comp.(Remedica Ltd,Chypre)</t>
  </si>
  <si>
    <t>CATHETER IV, site d'injection, u.u. 20 G [1,0 x 32 mm], rose(La-med Health Pvt. Ltd,India)</t>
  </si>
  <si>
    <t>CATHETER IV, site d'injection, u.u. 22 G [ 0,8 x 25 mm] bleu(La-med Health Pvt. Ltd,India)</t>
  </si>
  <si>
    <t>Litre</t>
  </si>
  <si>
    <t>SLASETHA9B1;</t>
  </si>
  <si>
    <t>ETHANOL, dénaturé, 95%, 1 l, fl.(Pharmaceutique francaise)</t>
  </si>
  <si>
    <t>Drum/Barrel</t>
  </si>
  <si>
    <t>SLASETHA7B1;</t>
  </si>
  <si>
    <t>ETHANOL, dénaturé, 70%, [bidon de 5l](Pharmaceutique francaise)</t>
  </si>
  <si>
    <t>LAMELLE COUVRE-OBJET, 22 x 22 mm(Hebei Medecine- Health Products,China)</t>
  </si>
  <si>
    <t>PERFUSEUR 'Y', Luer lock, prise d'air, stérile, u.u.(La-Med Healthcare Pvt. Ltd,India)</t>
  </si>
  <si>
    <t>CATHETER IV, site d'injection, u.u. 18 G [1,2 x 45 mm], vert(La-Med Healthcare Pvt. Ltd,India)</t>
  </si>
  <si>
    <t>CATHETER IV, site d'injection, u.u. 20 G [1,0 x 32 mm], rose(La-Med Healthcare Pvt. Ltd,India)</t>
  </si>
  <si>
    <t>CATHETER IV, site d'injection, u.u. 22 G [0,8 x 25 mm] bleu(La-Med Healthcare Pvt. Ltd,India)</t>
  </si>
  <si>
    <t>SERINGUE, u.u., Luer, 10 ml(Suzhou Hengxiang Co Ltd,China)</t>
  </si>
  <si>
    <t>LAME PORTE-OBJETS, dépolie, 76 x 26 mm,emballage tropicalisé(Ral Diagnostic)</t>
  </si>
  <si>
    <t>HUILE IMMERSION, 250 ml, fl. compte-gouttes(Gainland Chemical CO UK.)</t>
  </si>
  <si>
    <t>AL 20/120 mg, blister de 18 comp., 25-34 kg(Ajanta pharma Ltd,India)</t>
  </si>
  <si>
    <t>TEST MALARIA HRP-2/pan pLDH, st,1test [CareStart RMRM-02571](Access Bio,Inc.USA)</t>
  </si>
  <si>
    <t>AL 20/120 mg, blister de 6 comp. disp., 5-14 kg(Ajanta pharma Limited,India):PA0459B</t>
  </si>
  <si>
    <t>AL 20/120 mg, blister de 6 comp. disp., 5-14 kg(CIPLA LTD, India):ID83327</t>
  </si>
  <si>
    <t>TEST MALARIA Pf [HRP-2] Ag RDT, st,1test [CareStart RMOM-02571](Access Bio,Inc.USA):MO18H62</t>
  </si>
  <si>
    <t>CATHETER IV, site d'injection, u.u. 22 G [ 0,8 x 25 mm] bleu(La-med Health Pvt. Ltd,India):1703010</t>
  </si>
  <si>
    <t>SULFADOXINE, 500 mg / PYRIMETHAMINE, 25 mg, comp.(Remedica Ltd,Chypre):73199</t>
  </si>
  <si>
    <t>SULFADOXINE, 500 mg / PYRIMETHAMINE, 25 mg, comp.(Remedica Ltd,Chypre):73203</t>
  </si>
  <si>
    <t>AL 20/120 mg, blister de 12 comp. disp., 15-24 kg(CIPLA LTD,India):ID83325</t>
  </si>
  <si>
    <t>AL 20/120 mg, blister de 12 comp. disp., 15-24 kg(CIPLA LTD,India):ID83324</t>
  </si>
  <si>
    <t>AL 20/120 mg, blister de 18 comp., 25-34 kg(OXALIS LABS,India):NAA8647A</t>
  </si>
  <si>
    <t>AL 20/120 mg, blister de 18 comp., 25-34 kg(OXALIS LABS,India):NAA8650A</t>
  </si>
  <si>
    <t>AL 20/120 mg, blister de 18 comp., 25-34 kg(OXALIS LABS,India):NAA8659A</t>
  </si>
  <si>
    <t>AL 20/120 mg, blister de 24 comp., &gt;35 kg (OXALIS LABS,India):NAA8643B</t>
  </si>
  <si>
    <t>AL 20/120 mg, blister de 24 comp., &gt;35 kg (OXALIS LABS,India):NAA8642A</t>
  </si>
  <si>
    <t>AL 20/120 mg, blister de 24 comp., &gt;35 kg (OXALIS LABS,India):NAA8644A</t>
  </si>
  <si>
    <t>AL 20/120 mg, blister de 24 comp., &gt;35 kg (OXALIS LABS,India):NAA8648A</t>
  </si>
  <si>
    <t>AL 20/120 mg, blister de 24 comp., &gt;35 kg (OXALIS LABS,India):NAA8649A</t>
  </si>
  <si>
    <t>AL 20/120 mg, blister de 24 comp., &gt;35 kg (OXALIS LABS,India):NAA8651A</t>
  </si>
  <si>
    <t>AL 20/120 mg, blister de 24 comp., &gt;35 kg (OXALIS LABS,India):NAA8652A</t>
  </si>
  <si>
    <t>AL 20/120 mg, blister de 24 comp., &gt;35 kg (OXALIS LABS,India):NAA8653A</t>
  </si>
  <si>
    <t>AL 20/120 mg, blister de 24 comp., &gt;35 kg (OXALIS LABS,India):NAA8654A</t>
  </si>
  <si>
    <t>AL 20/120 mg, blister de 24 comp., &gt;35 kg (OXALIS LABS,India):NAA8655A</t>
  </si>
  <si>
    <t>AL 20/120 mg, blister de 24 comp., &gt;35 kg (OXALIS LABS,India):NAA8656A</t>
  </si>
  <si>
    <t>AL 20/120 mg, blister de 24 comp., &gt;35 kg (OXALIS LABS,India):NAA8657A</t>
  </si>
  <si>
    <t>AL 20/120 mg, blister de 24 comp., &gt;35 kg (OXALIS LABS,India):NAA8658A</t>
  </si>
  <si>
    <t>ARTESUNATE 60 mg, poudre, fl +NaHCO3 5% 1ml +NaCl 0.9% 5ml(Guilin Pharmaceutical Co. Ltd,China):LA181126</t>
  </si>
  <si>
    <t>ARTESUNATE 60 mg, poudre, fl +NaHCO3 5% 1ml +NaCl 0.9% 5ml(Guilin Pharmaceutical Co. Ltd,China):LA181125</t>
  </si>
  <si>
    <t>ARTESUNATE 60 mg, poudre, fl +NaHCO3 5% 1ml +NaCl 0.9% 5ml(Guilin Pharmaceutical Co. Ltd,China):LA181131</t>
  </si>
  <si>
    <t>ARTESUNATE 60 mg, poudre, fl +NaHCO3 5% 1ml +NaCl 0.9% 5ml(Guilin Pharmaceutical Co. Ltd,China):LA181127</t>
  </si>
  <si>
    <t>Bulk (kg)</t>
  </si>
  <si>
    <t>ARTESUNATE 60 mg, poudre, fl +NaHCO3 5% 1ml +NaCl 0.9% 5ml(Guilin Pharmaceutical Co. Ltd,China):LA181107</t>
  </si>
  <si>
    <t>ARTESUNATE 60 mg, poudre, fl +NaHCO3 5% 1ml +NaCl 0.9% 5ml(Guilin Pharmaceutical Co. Ltd,China):LA181128</t>
  </si>
  <si>
    <t>ARTESUNATE 60 mg, poudre, fl +NaHCO3 5% 1ml +NaCl 0.9% 5ml(Guilin Pharmaceutical Co. Ltd,China):LA181129</t>
  </si>
  <si>
    <t>AL 20/120 mg, blister de 6 comp. disp., 5-14 kg(Ajanta pharma Limited,India):PA0479B</t>
  </si>
  <si>
    <t>AL 20/120 mg, blister de 12 comp. disp., 15-24 kg(Ajanta pharma Limited,India):PA0459B</t>
  </si>
  <si>
    <t>Bale/Bundle</t>
  </si>
  <si>
    <t>Moustiquaire Imprégné à Longue Durée d'Action(MILDA)</t>
  </si>
  <si>
    <t>CONTAINER,regulated medical waste [UN3291](Fisher Scientific,Canada)</t>
  </si>
  <si>
    <t>LAME PORTE-OBJETS, 76 x 26 mm, épaisseur 1-1,2 mm(Ral Diagnostic)</t>
  </si>
  <si>
    <t>TEST MALARIA Pf [HRP-2] Ag RDT, st,1test [CareStart RMOM-02571](Access Bio,Inc.USA):MO18H68</t>
  </si>
  <si>
    <t>TEST MALARIA Pf [HRP-2] Ag RDT, st,1test [CareStart RMOM-02571](Access Bio,Inc.USA):MO18L68</t>
  </si>
  <si>
    <t>TEST MALARIA Pf [HRP-2] Ag RDT, st,1test [CareStart RMOM-02571](Access Bio,Inc.USA):MO18L67</t>
  </si>
  <si>
    <t>TEST MALARIA Pf [HRP-2] Ag RDT, st,1test [CareStart RMOM-02571](Access Bio,Inc.USA):MO18L69</t>
  </si>
  <si>
    <t>TEST MALARIA Pf [HRP-2] Ag RDT, st,1test [CareStart RMOM-02571](Access Bio,Inc.USA):MO18L66</t>
  </si>
  <si>
    <t>TEST MALARIA Pf [HRP-2] Ag RDT, st,1test [CareStart RMOM-02571](Access Bio,Inc.USA):MO18L70</t>
  </si>
  <si>
    <t>TEST MALARIA Pf [HRP-2] Ag RDT, st,1test [CareStart RMOM-02571](Access Bio,Inc.USA):MO18H69</t>
  </si>
  <si>
    <t>TEST MALARIA Pf [HRP-2] Ag RDT, st,1test [CareStart RMOM-02571](Access Bio,Inc.USA):MO18H61</t>
  </si>
  <si>
    <t>TEST MALARIA Pf [HRP-2] Ag RDT, st,1test [CareStart RMOM-02571](Access Bio,Inc.USA):MO18H66</t>
  </si>
  <si>
    <t>TEST MALARIA Pf [HRP-2] Ag RDT, st,1test [CareStart RMOM-02571](Access Bio,Inc.USA):MO18H67</t>
  </si>
  <si>
    <t>TEST MALARIA Pf [HRP-2] Ag RDT, st,1test [CareStart RMOM-02571](Access Bio,Inc.USA):MO18H64</t>
  </si>
  <si>
    <t>TEST MALARIA Pf [HRP-2] Ag RDT, st,1test [CareStart RMOM-02571](Access Bio,Inc.USA):MO18H65</t>
  </si>
  <si>
    <t>TEST MALARIA Pf [HRP-2] Ag RDT, st,1test [CareStart RMOM-02571](Access Bio,Inc.USA):MO18H63</t>
  </si>
  <si>
    <t>GLUCOSE, 5%, 500 ml, poche souple, sans PVC(Shijiazhuang No 4 Pharmqceutical Co.Ltd,China):1809161901</t>
  </si>
  <si>
    <t>GLUCOSE, 5%, 500 ml, poche souple, sans PVC(Shijiazhuang No 4 Pharmqceutical Co.Ltd,China):1809161902</t>
  </si>
  <si>
    <t>Closing Stock on Hand - Good Condition</t>
  </si>
  <si>
    <t>product_code</t>
  </si>
  <si>
    <t>Description</t>
  </si>
  <si>
    <t>Category</t>
  </si>
  <si>
    <t>Sub-Category</t>
  </si>
  <si>
    <t>Acronym</t>
  </si>
  <si>
    <t>DORAABLA1TD</t>
  </si>
  <si>
    <t>ABC 60 mg / 3TC 30 mg, comp. disp.</t>
  </si>
  <si>
    <t>HIV</t>
  </si>
  <si>
    <t>HIV / Paediatric</t>
  </si>
  <si>
    <t>ABC+3TC</t>
  </si>
  <si>
    <t>DORAYILN2T-</t>
  </si>
  <si>
    <t>AZT 300 mg / 3TC 150 mg / NVP 200 mg, comp.</t>
  </si>
  <si>
    <t>HIV / Adults</t>
  </si>
  <si>
    <t>AZT+3TC+NVP</t>
  </si>
  <si>
    <t>DORAYILA2T-</t>
  </si>
  <si>
    <t>AZT 300 mg / 3TC 150 mg, comp.</t>
  </si>
  <si>
    <t xml:space="preserve">AZT+3TC </t>
  </si>
  <si>
    <t>DORAYILN1TD</t>
  </si>
  <si>
    <t>AZT 60 mg / 3TC 30 mg / NVP 50 mg, comp. dispersible</t>
  </si>
  <si>
    <t>DORAYILA1TD</t>
  </si>
  <si>
    <t>AZT 60 mg / 3TC 30 mg, comp. disp.</t>
  </si>
  <si>
    <t>DORAEFAV2TB</t>
  </si>
  <si>
    <t>EFAVIRENZ (EFV), 200 mg, comp. séc.</t>
  </si>
  <si>
    <t>EFV</t>
  </si>
  <si>
    <t>DORAEFAV6T-</t>
  </si>
  <si>
    <t>EFAVIRENZ (EFV), 600 mg, comp.</t>
  </si>
  <si>
    <t>DORALPVR4T-</t>
  </si>
  <si>
    <t>LPV 100mg / r 25mg, comp.</t>
  </si>
  <si>
    <t>LPV/r</t>
  </si>
  <si>
    <t>DORALPVR5T-</t>
  </si>
  <si>
    <t>LPV 200 mg / r 50 mg, comp.</t>
  </si>
  <si>
    <t>DORANEVI2T-</t>
  </si>
  <si>
    <t>NEVIRAPINE (NVP), 200 mg, comp.</t>
  </si>
  <si>
    <t>NVP (200mg)</t>
  </si>
  <si>
    <t>DORANEVI5TD</t>
  </si>
  <si>
    <t>NEVIRAPINE (NVP), 50mg, comp.</t>
  </si>
  <si>
    <t>NVP (50mg)</t>
  </si>
  <si>
    <t>DORATEEF1T-</t>
  </si>
  <si>
    <t>TDF 300 mg / FTC 200 mg / EFV 600 mg, comp.</t>
  </si>
  <si>
    <t>TDF+FTC+EFV</t>
  </si>
  <si>
    <t>DORATEEM1T-</t>
  </si>
  <si>
    <t>TDF 300 mg / FTC 200 mg, comp.</t>
  </si>
  <si>
    <t>TDF+FTC</t>
  </si>
  <si>
    <t>DORAABLA2T3</t>
  </si>
  <si>
    <t>ABC 600 mg / 3TC 300 mg, comp.</t>
  </si>
  <si>
    <t>SSDTHIVU20T</t>
  </si>
  <si>
    <t>HIV / Test</t>
  </si>
  <si>
    <t>Unigold</t>
  </si>
  <si>
    <t>SSDTHIVD10T</t>
  </si>
  <si>
    <t>TEST VIH 1 + 2 [Determine], sér/pl/st, 1 test 7D2343(ALERTE MEDICAL Co. Ltd, Japan)</t>
  </si>
  <si>
    <t>Determine</t>
  </si>
  <si>
    <t>DORACOTR1TD</t>
  </si>
  <si>
    <t>Cotrimocazole (100/20)</t>
  </si>
  <si>
    <t>HIV Co-infection</t>
  </si>
  <si>
    <t>DORACOTR8T-</t>
  </si>
  <si>
    <t>Cotrimocazole (800/160)</t>
  </si>
  <si>
    <t>DORAARLU2TD1</t>
  </si>
  <si>
    <t>AL 20/120 mg, blister de 12 comp. disp., 15-24 kg</t>
  </si>
  <si>
    <t>Malaria</t>
  </si>
  <si>
    <t>Malaria / Simple cases</t>
  </si>
  <si>
    <t>AL (12)</t>
  </si>
  <si>
    <t>DORAARLU3T1</t>
  </si>
  <si>
    <t>AL 20/120 mg, blister de 18 comp., 25-34 kg</t>
  </si>
  <si>
    <t>AL (18)</t>
  </si>
  <si>
    <t>DORAARLU4T1</t>
  </si>
  <si>
    <t>AL 20/120 mg, blister de 24 comp., &gt;35 kg</t>
  </si>
  <si>
    <t>AL (24)</t>
  </si>
  <si>
    <t>DORAARLU1TD1</t>
  </si>
  <si>
    <t>AL 20/120 mg, blister de 6 comp. disp., 5-14 kg</t>
  </si>
  <si>
    <t>AL (6)</t>
  </si>
  <si>
    <t>DINJARTS6V-</t>
  </si>
  <si>
    <t>ARTESUNATE 60 mg, poudre, fl +NaHCO3 5% 1ml +NaCl 0.9% 5ml</t>
  </si>
  <si>
    <t>Malaria / Severe cases</t>
  </si>
  <si>
    <t>Artesunate</t>
  </si>
  <si>
    <t>DINFDEXT5FBF5</t>
  </si>
  <si>
    <t>GLUCOSE, 5%, 500 ml, poche souple, sans PVC</t>
  </si>
  <si>
    <t>Dextrose</t>
  </si>
  <si>
    <t>DORASULP5T-</t>
  </si>
  <si>
    <t>SULFADOXINE, 500 mg / PYRIMETHAMINE, 25 mg, comp.</t>
  </si>
  <si>
    <t>SP</t>
  </si>
  <si>
    <t>SSDTMALP25T2</t>
  </si>
  <si>
    <t>TEST MALARIA HRP-2/pan pLDH, st,1test (CareStart RMRM-02571)</t>
  </si>
  <si>
    <t>Mal RDT</t>
  </si>
  <si>
    <t>DORACLOF1C-</t>
  </si>
  <si>
    <t>CLOFAZIMINE, 100 mg, caps. molle</t>
  </si>
  <si>
    <t>TB</t>
  </si>
  <si>
    <t>TB / Multi resistant cases</t>
  </si>
  <si>
    <t>Cfz</t>
  </si>
  <si>
    <t>DORAEHZR2T1</t>
  </si>
  <si>
    <t>E 275 mg / H 75 mg / Z 400 mg / R 150 mg, comp., blister</t>
  </si>
  <si>
    <t>TB / First line</t>
  </si>
  <si>
    <t>RHZE</t>
  </si>
  <si>
    <t>DORAETHA4T1</t>
  </si>
  <si>
    <t>ETHAMBUTOL chlorhydrate (E), éq. 400 mg base, comp. blister</t>
  </si>
  <si>
    <t>E</t>
  </si>
  <si>
    <t>DORAHRIF5TD1</t>
  </si>
  <si>
    <t>H 50 mg / R 75 mg, comp. disp., blister</t>
  </si>
  <si>
    <t xml:space="preserve">RH  </t>
  </si>
  <si>
    <t>DORAHZRI5TD1</t>
  </si>
  <si>
    <t>H 50 mg / Z 150 mg / R 75 mg, comp. disp., blister</t>
  </si>
  <si>
    <t>RHZ</t>
  </si>
  <si>
    <t>DORAHRIF7T1</t>
  </si>
  <si>
    <t>H 75 mg / R 150 mg, comp., blister</t>
  </si>
  <si>
    <t>DORAISON3T1</t>
  </si>
  <si>
    <t>ISONIAZIDE (H), 300 mg, comp., blister</t>
  </si>
  <si>
    <t>H</t>
  </si>
  <si>
    <t>DINJKANA1V-</t>
  </si>
  <si>
    <t>KANAMYCINE sulfate, éq. 1 g base, poudre, fl.</t>
  </si>
  <si>
    <t>Km</t>
  </si>
  <si>
    <t>DORAMOXI4T-</t>
  </si>
  <si>
    <t>MOXIFLOXACINE chlorhydrate, éq 400 mg base, comp.</t>
  </si>
  <si>
    <t>Mfx</t>
  </si>
  <si>
    <t>DORAPRON2T1</t>
  </si>
  <si>
    <t>PROTHIONAMIDE, 250 mg, comp., blister</t>
  </si>
  <si>
    <t>Pto</t>
  </si>
  <si>
    <t>DORAPYRZ4T1</t>
  </si>
  <si>
    <t>PYRAZINAMIDE (Z), 400 mg, comp., blister</t>
  </si>
  <si>
    <t>Z</t>
  </si>
  <si>
    <t>DINJSTRE1V-</t>
  </si>
  <si>
    <t>STREPTOMYCINE sulfate, éq. 1 g base, poudre, fl.</t>
  </si>
  <si>
    <t xml:space="preserve">S </t>
  </si>
  <si>
    <t>DINJAMIK5A-</t>
  </si>
  <si>
    <t>AMIKACINE sulfate, éq. 250 mg/ml base, 2 ml, amp.</t>
  </si>
  <si>
    <t>Am</t>
  </si>
  <si>
    <t>DORAEHRI1T1</t>
  </si>
  <si>
    <t>TB / Adults</t>
  </si>
  <si>
    <t>RHE</t>
  </si>
  <si>
    <t>Monthly Consumption (# units)</t>
  </si>
  <si>
    <t>SDRECOTW5R-;28/02/2029</t>
  </si>
  <si>
    <t>SMSUCOND1--;30/04/2029</t>
  </si>
  <si>
    <t>SMSUCOND1;30/04/2029</t>
  </si>
  <si>
    <t>SMSUCONDF1-;30/04/2027</t>
  </si>
  <si>
    <t>DORALAMI1T-;30/06/2026</t>
  </si>
  <si>
    <t>DORALAMI1T-;01/03/2027</t>
  </si>
  <si>
    <t>DINJSTRE1V-;30/11/2026</t>
  </si>
  <si>
    <t>DINJSTRE1V-;31/05/2028</t>
  </si>
  <si>
    <t>DORADARU6T-;30/11/2026</t>
  </si>
  <si>
    <t>DORAISON3T1;31/12/2027</t>
  </si>
  <si>
    <t>DORAPYRZ4T1;30/09/2027</t>
  </si>
  <si>
    <t>DORAHRIF7T1;31/05/2027</t>
  </si>
  <si>
    <t>DORAHRIF5TD1;30/06/2026</t>
  </si>
  <si>
    <t>DORAHZRI5TD1;30/06/2026</t>
  </si>
  <si>
    <t>SMSUGLOE1M-;31/05/2028</t>
  </si>
  <si>
    <t>DORALPVR5T-;31/07/2026</t>
  </si>
  <si>
    <t>DORATEEM1T-;30/06/2027</t>
  </si>
  <si>
    <t>DORAYIDO3T-;31/05/2028</t>
  </si>
  <si>
    <t>DEXTLUBR8J-;30/09/2028</t>
  </si>
  <si>
    <t>DORARALT4T-;01/06/2027</t>
  </si>
  <si>
    <t>DORAYILN2T-;31/03/2029</t>
  </si>
  <si>
    <t>DINJWATE1A-;31/03/2027</t>
  </si>
  <si>
    <t>DORARALT4T-;30/09/2026</t>
  </si>
  <si>
    <t>DINJWATE5A-;31/10/2027</t>
  </si>
  <si>
    <t>SINSSYDL05-;30/04/2030</t>
  </si>
  <si>
    <t>SINSCONT5C-;30/09/2029</t>
  </si>
  <si>
    <t>DINJWATE5A-;31/05/2028</t>
  </si>
  <si>
    <t>SSDTHIVU20T;07/09/2026</t>
  </si>
  <si>
    <t>DORAEFAV6T-;28/02/2028</t>
  </si>
  <si>
    <t>DORAYILA2T-;28/02/2030</t>
  </si>
  <si>
    <t>DORAATVR3T-;30/04/2028</t>
  </si>
  <si>
    <t>DORALAMI1T-;30/04/2027</t>
  </si>
  <si>
    <t>DORAYILN2T-;30/04/2030</t>
  </si>
  <si>
    <t>DORARITO1T2;31/01/2027</t>
  </si>
  <si>
    <t>DORAHRIF5TD1;31/07/2027</t>
  </si>
  <si>
    <t>DORAHZRI5TD1;31/07/2027</t>
  </si>
  <si>
    <t>DORAEFAV6T-;31/08/2028</t>
  </si>
  <si>
    <t>DINJWATE1A-;31/05/2027</t>
  </si>
  <si>
    <t>DORAEFAV6T-;30/06/2028</t>
  </si>
  <si>
    <t>DINJSTRE1V-;31/12/2028</t>
  </si>
  <si>
    <t>DINJSTRE1V-;31/01/2029</t>
  </si>
  <si>
    <t>DORAABLA2T3;30/09/2027</t>
  </si>
  <si>
    <t>DORALAMI1T-;30/06/2028</t>
  </si>
  <si>
    <t>DORAATVR3T-;31/07/2028</t>
  </si>
  <si>
    <t>DORANEVI2T-;31/10/2029</t>
  </si>
  <si>
    <t>DORADARU6T-;30/09/2027</t>
  </si>
  <si>
    <t>DORAABLA2T3;31/01/2028</t>
  </si>
  <si>
    <t>SSDTHIVD10T;01/01/2027</t>
  </si>
  <si>
    <t>DORAHRIF7T1;31/10/2028</t>
  </si>
  <si>
    <t>DORAHRIF7T1;30/09/2028</t>
  </si>
  <si>
    <t>DORAHRIF5TD1;31/10/2028</t>
  </si>
  <si>
    <t>DORAEHRI1T1;09/09/2028</t>
  </si>
  <si>
    <t>DORAEHZR2T1;31/10/2028</t>
  </si>
  <si>
    <t>DORARALT4T-;31/01/2028</t>
  </si>
  <si>
    <t>DORATEEF1T-;30/11/2027</t>
  </si>
  <si>
    <t>DORACLOF1C-;28/02/2030</t>
  </si>
  <si>
    <t>DORAPYRZ4T1;31/05/2030</t>
  </si>
  <si>
    <t>DORAETHA4T1;31/05/2030</t>
  </si>
  <si>
    <t>SINSCONT5C-;30/11/2029</t>
  </si>
  <si>
    <t>DORAMOXI4T-;30/04/2030</t>
  </si>
  <si>
    <t>SINSSYDL05-;31/03/2030</t>
  </si>
  <si>
    <t>DORAPRON2T1;31/05/2028</t>
  </si>
  <si>
    <t>DINJAMIK5A-;31/03/2029</t>
  </si>
  <si>
    <t>DORAYILA2T-;30/11/2029</t>
  </si>
  <si>
    <t>DORAYILA2T-;30/10/2030</t>
  </si>
  <si>
    <t>DORARALT4T-;31/12/2027</t>
  </si>
  <si>
    <t>DORARALT4T-;28/02/2028</t>
  </si>
  <si>
    <t>;31/05/2027</t>
  </si>
  <si>
    <t>DORANYST1S-;30/11/2027</t>
  </si>
  <si>
    <t>DORAABLA1TD;31/08/2026</t>
  </si>
  <si>
    <t>DORAYILN1TD;31/08/2029</t>
  </si>
  <si>
    <t>DINJPENB2VS;31/03/2027</t>
  </si>
  <si>
    <t>ELAECENEH3-;</t>
  </si>
  <si>
    <t>DORACIPR5T-;30/04/2028</t>
  </si>
  <si>
    <t>DORACLOX5C-;30/04/2027</t>
  </si>
  <si>
    <t>DORACOTR8T-;31/08/2028</t>
  </si>
  <si>
    <t>DORADOXY1T-;30/10/2026</t>
  </si>
  <si>
    <t>SLASETHA9B1;30/04/2028</t>
  </si>
  <si>
    <t>;31/05/2026</t>
  </si>
  <si>
    <t>DORAPYRM2T-;31/01/2027</t>
  </si>
  <si>
    <t>DORAPYRM2T-;31/08/2026</t>
  </si>
  <si>
    <t>DINJCEFT1V-;31/07/2027</t>
  </si>
  <si>
    <t>DORANEVI5TD;30/10/2026</t>
  </si>
  <si>
    <t>DORANEVI1S1;31/08/2027</t>
  </si>
  <si>
    <t>DORAAMOC2S6;31/01/2027</t>
  </si>
  <si>
    <t>DORACOTR1TD;30/11/2026</t>
  </si>
  <si>
    <t>DORACOTR1TD;30/04/2027</t>
  </si>
  <si>
    <t>DORAORSA2S-;28/02/2029</t>
  </si>
  <si>
    <t>DORAORSA2S-;31/03/2029</t>
  </si>
  <si>
    <t>DORALOPE2T-;30/04/2028</t>
  </si>
  <si>
    <t>DORAERYT5T-;31/03/2028</t>
  </si>
  <si>
    <t>DINJCEFT1V-;31/01/2028</t>
  </si>
  <si>
    <t>DORAMETN2S-;01/09/2027</t>
  </si>
  <si>
    <t>DORAMETN5T-;30/09/2027</t>
  </si>
  <si>
    <t>DORACLOX5C-;31/03/2028</t>
  </si>
  <si>
    <t>DORALPVR4T-;31/08/2027</t>
  </si>
  <si>
    <t>DINJCEFT1V-;30/10/2028</t>
  </si>
  <si>
    <t>DORAEFAV2TB;30/11/2028</t>
  </si>
  <si>
    <t>DORAAMOC2S6;31/01/2028</t>
  </si>
  <si>
    <t>DORACOTR4T-;31/07/2028</t>
  </si>
  <si>
    <t>DINFDEXT5FBF5;01/03/2027</t>
  </si>
  <si>
    <t>DORASULP5T-;31/07/2029</t>
  </si>
  <si>
    <t>SINSIVPP20-;28/02/2029</t>
  </si>
  <si>
    <t>SINSIVPP22-;28/02/2029</t>
  </si>
  <si>
    <t>ELABCOVG22-;31/10/2027</t>
  </si>
  <si>
    <t>SINSSETI2--;28/02/2029</t>
  </si>
  <si>
    <t>SINSIVPP18-;28/02/2029</t>
  </si>
  <si>
    <t>SINSSYDL10-;31/10/2027</t>
  </si>
  <si>
    <t>ELABSLID1FT;31/10/2027</t>
  </si>
  <si>
    <t>SLASOILI2B5;28/02/2029</t>
  </si>
  <si>
    <t>DORAARLU3T1;31/05/2026</t>
  </si>
  <si>
    <t>SSDTMALP25T2;31/01/2028</t>
  </si>
  <si>
    <t>DORASULP5T-;31/03/2030</t>
  </si>
  <si>
    <t>DORAARLU1TD1;31/01/2028</t>
  </si>
  <si>
    <t>DORAARLU1TD1;30/09/2027</t>
  </si>
  <si>
    <t>DORAARLU2TD1;30/09/2027</t>
  </si>
  <si>
    <t>DORAARLU3T1;30/09/2028</t>
  </si>
  <si>
    <t>DORAARLU4T1;30/09/2028</t>
  </si>
  <si>
    <t>DINJARTS6V-;25/06/2028</t>
  </si>
  <si>
    <t>DINJARTS6V-;27/06/2028</t>
  </si>
  <si>
    <t>DINJARTS6V-;26/06/2028</t>
  </si>
  <si>
    <t>DORAARLU2TD1;31/01/2028</t>
  </si>
  <si>
    <t>ELABSLID1--;31/10/2027</t>
  </si>
  <si>
    <t>SSDTMALP25T2;30/04/2028</t>
  </si>
  <si>
    <t>DINFDEXT5FBF5;15/09/2028</t>
  </si>
  <si>
    <t>category</t>
  </si>
  <si>
    <t>Row Labels</t>
  </si>
  <si>
    <t>Grand Total</t>
  </si>
  <si>
    <t>Sum of effective days</t>
  </si>
  <si>
    <t>Max of date_value_new</t>
  </si>
  <si>
    <t>Correct Date</t>
  </si>
  <si>
    <t>Doubled Date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</si>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</sst>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#,##0.000"/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/>
    <xf numFmtId="0" fontId="1" fillId="0" borderId="0" xfId="1"/>
    <xf numFmtId="164" fontId="1" fillId="0" borderId="0" xfId="1" applyNumberFormat="1"/>
    <xf numFmtId="165" fontId="1" fillId="0" borderId="0" xfId="1" applyNumberFormat="1"/>
    <xf numFmtId="0" fontId="1" fillId="0" borderId="0" xfId="1" applyFill="1"/>
    <xf numFmtId="0" fontId="3" fillId="0" borderId="0" xfId="1" applyFont="1" applyFill="1"/>
    <xf numFmtId="0" fontId="3" fillId="0" borderId="0" xfId="1" applyFont="1"/>
    <xf numFmtId="14" fontId="1" fillId="0" borderId="0" xfId="1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F3AEA6D9-60E4-42FC-9DE0-D9BBC64E2DAB}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ARRIAZA" refreshedDate="46065.637719560182" createdVersion="8" refreshedVersion="8" minRefreshableVersion="3" recordCount="550" xr:uid="{29625329-9530-4BA9-9454-B0E063C618FC}">
  <cacheSource type="worksheet">
    <worksheetSource ref="A1:T551" sheet="Storage Report Updated"/>
  </cacheSource>
  <cacheFields count="22">
    <cacheField name="event label" numFmtId="0">
      <sharedItems count="2">
        <s v="Opening Stock on Hand - Good Condition"/>
        <s v="Closing Stock on Hand - Good Condition"/>
      </sharedItems>
    </cacheField>
    <cacheField name="date value" numFmtId="166">
      <sharedItems containsSemiMixedTypes="0" containsNonDate="0" containsDate="1" containsString="0" minDate="2019-05-28T00:00:00" maxDate="2019-05-29T00:00:00"/>
    </cacheField>
    <cacheField name="date_value_new" numFmtId="166">
      <sharedItems containsSemiMixedTypes="0" containsNonDate="0" containsDate="1" containsString="0" minDate="2026-05-28T00:00:00" maxDate="2026-05-29T00:00:00"/>
    </cacheField>
    <cacheField name="event line IU quantity" numFmtId="0">
      <sharedItems containsSemiMixedTypes="0" containsString="0" containsNumber="1" containsInteger="1" minValue="1" maxValue="1563072"/>
    </cacheField>
    <cacheField name="inventory unit (IU)" numFmtId="0">
      <sharedItems/>
    </cacheField>
    <cacheField name="event line HU quantity" numFmtId="0">
      <sharedItems containsSemiMixedTypes="0" containsString="0" containsNumber="1" containsInteger="1" minValue="0" maxValue="98100"/>
    </cacheField>
    <cacheField name="handling unit (HU)" numFmtId="0">
      <sharedItems/>
    </cacheField>
    <cacheField name="event line weight (mT)" numFmtId="0">
      <sharedItems containsSemiMixedTypes="0" containsString="0" containsNumber="1" minValue="0" maxValue="70.176000000000002"/>
    </cacheField>
    <cacheField name="event line volume (m3)" numFmtId="0">
      <sharedItems containsSemiMixedTypes="0" containsString="0" containsNumber="1" minValue="0" maxValue="240.70400000000001"/>
    </cacheField>
    <cacheField name="event line value (USD)" numFmtId="0">
      <sharedItems containsSemiMixedTypes="0" containsString="0" containsNumber="1" containsInteger="1" minValue="0" maxValue="254388"/>
    </cacheField>
    <cacheField name="product category" numFmtId="0">
      <sharedItems/>
    </cacheField>
    <cacheField name="product owner reference" numFmtId="0">
      <sharedItems/>
    </cacheField>
    <cacheField name="product owner reference new" numFmtId="0">
      <sharedItems/>
    </cacheField>
    <cacheField name="product description" numFmtId="0">
      <sharedItems/>
    </cacheField>
    <cacheField name="product_code" numFmtId="0">
      <sharedItems count="106">
        <s v="SDRECOTW5R-"/>
        <s v="SMSUCOND1--"/>
        <s v="SMSUCOND1"/>
        <s v="SMSUCONDF1-"/>
        <s v=""/>
        <s v="DORALAMI1T-"/>
        <s v="DINJSTRE1V-"/>
        <s v="DORADARU6T-"/>
        <s v="DORAISON3T1"/>
        <s v="DORAPYRZ4T1"/>
        <s v="DORAHRIF7T1"/>
        <s v="DORAHRIF5TD1"/>
        <s v="DORAHZRI5TD1"/>
        <s v="SMSUGLOE1M-"/>
        <s v="DORALPVR5T-"/>
        <s v="DORATEEM1T-"/>
        <s v="DORAYIDO3T-"/>
        <s v="SLASWATE1B1"/>
        <s v="DEXTLUBR8J-"/>
        <s v="DORARALT4T-"/>
        <s v="DORAYILN2T-"/>
        <s v="DINJWATE1A-"/>
        <s v="ELAEHAEE3--"/>
        <s v="EMEQOTOS1--"/>
        <s v="EMEQSTET2--"/>
        <s v="PCOLTHER35A"/>
        <s v="EMEQTOUR1--"/>
        <s v="SCTDTUGA08-"/>
        <s v="SDREBANE104"/>
        <s v="SINSSYDL60-"/>
        <s v="ELABCYLG0100"/>
        <s v="SINSCONT5C-"/>
        <s v="STSSCONT1S-"/>
        <s v="PTOOSCALA1510"/>
        <s v="ELABBOTW0250"/>
        <s v="ESTETIME1--"/>
        <s v="ELAECD4E1--"/>
        <s v="ELABPIATB--"/>
        <s v="ELABPIATY--"/>
        <s v="SINSCONT2P-"/>
        <s v="DINJWATE5A-"/>
        <s v="ELABTUCER1-"/>
        <s v="STSSBSVVH1-"/>
        <s v="ELABPIAA1000"/>
        <s v="ELABPIAA0200"/>
        <s v="ELABPIAA0100"/>
        <s v="ELABMILP1--"/>
        <s v="SINSSYDL05-"/>
        <s v="SSDTHIVU20T"/>
        <s v="DORAEFAV6T-"/>
        <s v="DORAYILA2T-"/>
        <s v="DORAATVR3T-"/>
        <s v="DORARITO1T2"/>
        <s v="DORAABLA2T3"/>
        <s v="DORANEVI2T-"/>
        <s v="SSDTHIVD10T"/>
        <s v="DORAEHRI1T1"/>
        <s v="DORAEHZR2T1"/>
        <s v="DORATEEF1T-"/>
        <s v="DORACLOF1C-"/>
        <s v="DORAETHA4T1"/>
        <s v="DORAMOXI4T-"/>
        <s v="DORAPRON2T1"/>
        <s v="DINJAMIK5A-"/>
        <s v="DORANYST1S-"/>
        <s v="DORAABLA1TD"/>
        <s v="DORAYILN1TD"/>
        <s v="DINJPENB2VS"/>
        <s v="ELAECENEH3-"/>
        <s v="DORACIPR5T-"/>
        <s v="DORACLOX5C-"/>
        <s v="DORACOTR8T-"/>
        <s v="DORADOXY1T-"/>
        <s v="SLASETHA9B1"/>
        <s v="DORAPYRM2T-"/>
        <s v="DINJCEFT1V-"/>
        <s v="DORANEVI5TD"/>
        <s v="DORANEVI1S1"/>
        <s v="DORAAMOC2S6"/>
        <s v="DORACOTR1TD"/>
        <s v="DORAORSA2S-"/>
        <s v="DORALOPE2T-"/>
        <s v="DORAERYT5T-"/>
        <s v="DORAMETN2S-"/>
        <s v="DORAMETN5T-"/>
        <s v="DORALPVR4T-"/>
        <s v="DORAEFAV2TB"/>
        <s v="DORACOTR4T-"/>
        <s v="DINFDEXT5FBF5"/>
        <s v="DORASULP5T-"/>
        <s v="SINSIVPP20-"/>
        <s v="SINSIVPP22-"/>
        <s v="SLASETHA7B1"/>
        <s v="ELABCOVG22-"/>
        <s v="SINSSETI2--"/>
        <s v="SINSIVPP18-"/>
        <s v="SINSSYDL10-"/>
        <s v="ELABSLID1FT"/>
        <s v="SLASOILI2B5"/>
        <s v="DORAARLU3T1"/>
        <s v="SSDTMALP25T2"/>
        <s v="DORAARLU1TD1"/>
        <s v="DORAARLU2TD1"/>
        <s v="DORAARLU4T1"/>
        <s v="DINJARTS6V-"/>
        <s v="ELABSLID1--"/>
      </sharedItems>
    </cacheField>
    <cacheField name="bbd" numFmtId="0">
      <sharedItems/>
    </cacheField>
    <cacheField name="bbd_date_value" numFmtId="14">
      <sharedItems containsDate="1" containsMixedTypes="1" minDate="2026-05-31T00:00:00" maxDate="2030-10-31T00:00:00"/>
    </cacheField>
    <cacheField name="category" numFmtId="0">
      <sharedItems count="4">
        <s v="Other"/>
        <s v="TB"/>
        <s v="HIV"/>
        <s v="Malaria"/>
      </sharedItems>
    </cacheField>
    <cacheField name="demand" numFmtId="0">
      <sharedItems containsSemiMixedTypes="0" containsString="0" containsNumber="1" minValue="0" maxValue="1905233.63636363"/>
    </cacheField>
    <cacheField name="days_until_exp" numFmtId="0">
      <sharedItems containsSemiMixedTypes="0" containsString="0" containsNumber="1" containsInteger="1" minValue="0" maxValue="1616"/>
    </cacheField>
    <cacheField name="days_stockout" numFmtId="0">
      <sharedItems containsSemiMixedTypes="0" containsString="0" containsNumber="1" minValue="0" maxValue="2258.8872180451131"/>
    </cacheField>
    <cacheField name="effective days" numFmtId="0">
      <sharedItems containsSemiMixedTypes="0" containsString="0" containsNumber="1" minValue="0" maxValue="8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d v="2019-05-28T00:00:00"/>
    <d v="2026-05-28T00:00:00"/>
    <n v="1006"/>
    <s v="Each"/>
    <n v="1006"/>
    <s v="None/Loose"/>
    <n v="0.52300000000000002"/>
    <n v="2.8969999999999998"/>
    <n v="1720"/>
    <s v="Health"/>
    <s v="SDRECOTW5R-;28/02/2022"/>
    <s v="SDRECOTW5R-;28/02/2029"/>
    <s v="COTON hydrophile, rouleau, 500 g(Suzhou Hengxiang Imp. &amp; Exp.Co, Ltd, china)"/>
    <x v="0"/>
    <s v="28/02/2029"/>
    <d v="2029-02-28T00:00:00"/>
    <x v="0"/>
    <n v="0"/>
    <n v="1007"/>
    <n v="0"/>
    <n v="0"/>
  </r>
  <r>
    <x v="0"/>
    <d v="2019-05-28T00:00:00"/>
    <d v="2026-05-28T00:00:00"/>
    <n v="194688"/>
    <s v="Each"/>
    <n v="1352"/>
    <s v="Box/Carton"/>
    <n v="0.58399999999999996"/>
    <n v="3.1789999999999998"/>
    <n v="3759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0"/>
    <d v="2019-05-28T00:00:00"/>
    <d v="2026-05-28T00:00:00"/>
    <n v="5760"/>
    <s v="Each"/>
    <n v="40"/>
    <s v="Box/Carton"/>
    <n v="1.7000000000000001E-2"/>
    <n v="9.4E-2"/>
    <n v="111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16200"/>
    <s v="Each"/>
    <n v="162"/>
    <s v="Box/Carton"/>
    <n v="0.17499999999999999"/>
    <n v="1.1160000000000001"/>
    <n v="6642"/>
    <s v="Health"/>
    <s v="SMSUCONDF1-;30/04/2020"/>
    <s v="SMSUCONDF1-;30/04/2027"/>
    <s v="PRESERVATIF FEMININ, lubrifié, 170 mm, u.u. (CUPID LTD,INDIA)"/>
    <x v="3"/>
    <s v="30/04/2027"/>
    <d v="2027-04-30T00:00:00"/>
    <x v="0"/>
    <n v="0"/>
    <n v="337"/>
    <n v="0"/>
    <n v="0"/>
  </r>
  <r>
    <x v="0"/>
    <d v="2019-05-28T00:00:00"/>
    <d v="2026-05-28T00:00:00"/>
    <n v="1130"/>
    <s v="Each"/>
    <n v="1130"/>
    <s v="None/Loose"/>
    <n v="0.27100000000000002"/>
    <n v="0.56499999999999995"/>
    <n v="4251"/>
    <s v="Health"/>
    <s v=""/>
    <s v=""/>
    <s v="ETHANOL, dénaturé, 70%, 1 l, fl."/>
    <x v="4"/>
    <s v=""/>
    <s v=""/>
    <x v="0"/>
    <n v="0"/>
    <n v="0"/>
    <n v="0"/>
    <n v="0"/>
  </r>
  <r>
    <x v="0"/>
    <d v="2019-05-28T00:00:00"/>
    <d v="2026-05-28T00:00:00"/>
    <n v="14040"/>
    <s v="Each"/>
    <n v="234"/>
    <s v="Box/Carton"/>
    <n v="8.0000000000000002E-3"/>
    <n v="4.2000000000000003E-2"/>
    <n v="468"/>
    <s v="Health"/>
    <s v="DORALAMI1T-;30/06/2019"/>
    <s v="DORALAMI1T-;30/06/2026"/>
    <s v="LAMIVUDINE [3TC], 150 mg, comp.(MYLAN LAB LTD,INDIA)"/>
    <x v="5"/>
    <s v="30/06/2026"/>
    <d v="2026-06-30T00:00:00"/>
    <x v="0"/>
    <n v="0"/>
    <n v="33"/>
    <n v="0"/>
    <n v="0"/>
  </r>
  <r>
    <x v="0"/>
    <d v="2019-05-28T00:00:00"/>
    <d v="2026-05-28T00:00:00"/>
    <n v="2520"/>
    <s v="Each"/>
    <n v="42"/>
    <s v="Box/Carton"/>
    <n v="2E-3"/>
    <n v="8.0000000000000002E-3"/>
    <n v="84"/>
    <s v="Health"/>
    <s v="DORALAMI1T-;29/02/2020"/>
    <s v="DORALAMI1T-;01/03/2027"/>
    <s v="LAMIVUDINE [3TC], 150 mg, comp.(MYLAN LAB LTD,INDIA)"/>
    <x v="5"/>
    <s v="01/03/2027"/>
    <d v="2027-03-01T00:00:00"/>
    <x v="0"/>
    <n v="0"/>
    <n v="277"/>
    <n v="0"/>
    <n v="0"/>
  </r>
  <r>
    <x v="0"/>
    <d v="2019-05-28T00:00:00"/>
    <d v="2026-05-28T00:00:00"/>
    <n v="9511"/>
    <s v="Each"/>
    <n v="95"/>
    <s v="Box/Carton"/>
    <n v="0.17100000000000001"/>
    <n v="0.47599999999999998"/>
    <n v="6087"/>
    <s v="Health"/>
    <s v="DINJSTRE1V-;30/11/2019"/>
    <s v="DINJSTRE1V-;30/11/2026"/>
    <s v="STREPTOMYCINE sulfate, éq. 1 g base, poudre, fl.(Lab. REIG JOFRE, SPAIN)"/>
    <x v="6"/>
    <s v="30/11/2026"/>
    <d v="2026-11-30T00:00:00"/>
    <x v="1"/>
    <n v="1736.3636363636363"/>
    <n v="186"/>
    <n v="164.32617801047121"/>
    <n v="164.32617801047121"/>
  </r>
  <r>
    <x v="0"/>
    <d v="2019-05-28T00:00:00"/>
    <d v="2026-05-28T00:00:00"/>
    <n v="32600"/>
    <s v="Each"/>
    <n v="326"/>
    <s v="Box/Carton"/>
    <n v="0.58699999999999997"/>
    <n v="1.63"/>
    <n v="20864"/>
    <s v="Health"/>
    <s v="DINJSTRE1V-;31/05/2021"/>
    <s v="DINJSTRE1V-;31/05/2028"/>
    <s v="STREPTOMYCINE sulfate, éq. 1 g base, poudre, fl.(Lab. REIG JOFRE, SPAIN)"/>
    <x v="6"/>
    <s v="31/05/2028"/>
    <d v="2028-05-31T00:00:00"/>
    <x v="1"/>
    <n v="1736.3636363636363"/>
    <n v="734"/>
    <n v="563.24607329842934"/>
    <n v="563.24607329842934"/>
  </r>
  <r>
    <x v="0"/>
    <d v="2019-05-28T00:00:00"/>
    <d v="2026-05-28T00:00:00"/>
    <n v="780"/>
    <s v="Each"/>
    <n v="13"/>
    <s v="Box/Carton"/>
    <n v="2E-3"/>
    <n v="5.0000000000000001E-3"/>
    <n v="910"/>
    <s v="Health"/>
    <s v="DORADARU6T-;30/11/2019"/>
    <s v="DORADARU6T-;30/11/2026"/>
    <s v="DARUNAVIR éthanolate [DRV], éq. 600 mg base, comp.(Janssen Ortho LLC,Italy)"/>
    <x v="7"/>
    <s v="30/11/2026"/>
    <d v="2026-11-30T00:00:00"/>
    <x v="0"/>
    <n v="0"/>
    <n v="186"/>
    <n v="0"/>
    <n v="0"/>
  </r>
  <r>
    <x v="0"/>
    <d v="2019-05-28T00:00:00"/>
    <d v="2026-05-28T00:00:00"/>
    <n v="136416"/>
    <s v="Each"/>
    <n v="203"/>
    <s v="Box/Carton"/>
    <n v="0.13"/>
    <n v="0.48699999999999999"/>
    <n v="2590"/>
    <s v="Health"/>
    <s v="DORAISON3T1;31/12/2020"/>
    <s v="DORAISON3T1;31/12/2027"/>
    <s v="ISONIAZIDE [H], 300 mg, comp., blister(OXALIS LABS, INDIA)"/>
    <x v="8"/>
    <s v="31/12/2027"/>
    <d v="2027-12-31T00:00:00"/>
    <x v="1"/>
    <n v="25605.8181818181"/>
    <n v="582"/>
    <n v="159.82617586912116"/>
    <n v="159.82617586912116"/>
  </r>
  <r>
    <x v="0"/>
    <d v="2019-05-28T00:00:00"/>
    <d v="2026-05-28T00:00:00"/>
    <n v="8064"/>
    <s v="Each"/>
    <n v="12"/>
    <s v="Box/Carton"/>
    <n v="8.0000000000000002E-3"/>
    <n v="3.9E-2"/>
    <n v="156"/>
    <s v="Health"/>
    <s v="DORAPYRZ4T1;30/09/2020"/>
    <s v="DORAPYRZ4T1;30/09/2027"/>
    <s v="PYRAZINAMIDE [Z], 400 mg, comp., blister(OXALIS LABS.BADDI, INDIA)"/>
    <x v="9"/>
    <s v="30/09/2027"/>
    <d v="2027-09-30T00:00:00"/>
    <x v="1"/>
    <n v="18064"/>
    <n v="490"/>
    <n v="13.392382639503985"/>
    <n v="13.392382639503985"/>
  </r>
  <r>
    <x v="0"/>
    <d v="2019-05-28T00:00:00"/>
    <d v="2026-05-28T00:00:00"/>
    <n v="402528"/>
    <s v="Each"/>
    <n v="599"/>
    <s v="Box/Carton"/>
    <n v="0.34899999999999998"/>
    <n v="1.8160000000000001"/>
    <n v="11782"/>
    <s v="Health"/>
    <s v="DORAHRIF7T1;31/05/2020"/>
    <s v="DORAHRIF7T1;31/05/2027"/>
    <s v="H 75 mg / R 150 mg, comp., blister(LUPIN LTD, INDIA)"/>
    <x v="10"/>
    <s v="31/05/2027"/>
    <d v="2027-05-31T00:00:00"/>
    <x v="1"/>
    <n v="405643.63636363635"/>
    <n v="368"/>
    <n v="29.76957831325301"/>
    <n v="29.76957831325301"/>
  </r>
  <r>
    <x v="0"/>
    <d v="2019-05-28T00:00:00"/>
    <d v="2026-05-28T00:00:00"/>
    <n v="222852"/>
    <s v="Each"/>
    <n v="2653"/>
    <s v="Box/Carton"/>
    <n v="0.193"/>
    <n v="1.0049999999999999"/>
    <n v="6394"/>
    <s v="Health"/>
    <s v="DORAHRIF5TD1;30/06/2019"/>
    <s v="DORAHRIF5TD1;30/06/2026"/>
    <s v="H 50 mg / R 75 mg, comp. disp., blister(LUPIN LTD, INDIA)"/>
    <x v="11"/>
    <s v="30/06/2026"/>
    <d v="2026-06-30T00:00:00"/>
    <x v="1"/>
    <n v="20312.727272727272"/>
    <n v="33"/>
    <n v="329.13157894736844"/>
    <n v="33"/>
  </r>
  <r>
    <x v="0"/>
    <d v="2019-05-28T00:00:00"/>
    <d v="2026-05-28T00:00:00"/>
    <n v="66528"/>
    <s v="Each"/>
    <n v="792"/>
    <s v="Box/Carton"/>
    <n v="0.06"/>
    <n v="0.29299999999999998"/>
    <n v="2336"/>
    <s v="Health"/>
    <s v="DORAHZRI5TD1;30/06/2019"/>
    <s v="DORAHZRI5TD1;30/06/2026"/>
    <s v="H 50 mg / Z 150 mg / R 75 mg, comp. disp., blister(LUPIN LTD, INDIA)"/>
    <x v="12"/>
    <s v="30/06/2026"/>
    <d v="2026-06-30T00:00:00"/>
    <x v="1"/>
    <n v="80889.4545454545"/>
    <n v="33"/>
    <n v="24.673673610674065"/>
    <n v="24.673673610674065"/>
  </r>
  <r>
    <x v="0"/>
    <d v="2019-05-28T00:00:00"/>
    <d v="2026-05-28T00:00:00"/>
    <n v="1900"/>
    <s v="Each"/>
    <n v="19"/>
    <s v="Box/Carton"/>
    <n v="1.0999999999999999E-2"/>
    <n v="4.3999999999999997E-2"/>
    <n v="67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100"/>
    <s v="Each"/>
    <n v="1"/>
    <s v="Box/Carton"/>
    <n v="1E-3"/>
    <n v="2E-3"/>
    <n v="4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3100"/>
    <s v="Each"/>
    <n v="31"/>
    <s v="Box/Carton"/>
    <n v="1.7999999999999999E-2"/>
    <n v="7.2999999999999995E-2"/>
    <n v="109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21800"/>
    <s v="Each"/>
    <n v="38"/>
    <s v="Box/Carton"/>
    <n v="0.13"/>
    <n v="0.51"/>
    <n v="76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28000"/>
    <s v="Each"/>
    <n v="280"/>
    <s v="Box/Carton"/>
    <n v="0.16700000000000001"/>
    <n v="0.65500000000000003"/>
    <n v="980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29700"/>
    <s v="Each"/>
    <n v="297"/>
    <s v="Box/Carton"/>
    <n v="0.17699999999999999"/>
    <n v="0.69499999999999995"/>
    <n v="1040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1500"/>
    <s v="Each"/>
    <n v="15"/>
    <s v="Box/Carton"/>
    <n v="8.9999999999999993E-3"/>
    <n v="3.5000000000000003E-2"/>
    <n v="5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1000"/>
    <s v="Each"/>
    <n v="10"/>
    <s v="Box/Carton"/>
    <n v="6.0000000000000001E-3"/>
    <n v="2.3E-2"/>
    <n v="35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7200"/>
    <s v="Each"/>
    <n v="72"/>
    <s v="Box/Carton"/>
    <n v="4.2999999999999997E-2"/>
    <n v="0.16800000000000001"/>
    <n v="252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1100"/>
    <s v="Each"/>
    <n v="11"/>
    <s v="Box/Carton"/>
    <n v="7.0000000000000001E-3"/>
    <n v="2.5999999999999999E-2"/>
    <n v="39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9800"/>
    <s v="Each"/>
    <n v="98"/>
    <s v="Box/Carton"/>
    <n v="5.8000000000000003E-2"/>
    <n v="0.22900000000000001"/>
    <n v="34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0"/>
    <d v="2019-05-28T00:00:00"/>
    <d v="2026-05-28T00:00:00"/>
    <n v="705120"/>
    <s v="Each"/>
    <n v="5876"/>
    <s v="Box/Carton"/>
    <n v="1.528"/>
    <n v="4.1130000000000004"/>
    <n v="105768"/>
    <s v="Health"/>
    <s v="DORALPVR5T-;31/07/2019"/>
    <s v="DORALPVR5T-;31/07/2026"/>
    <s v="LPV 200 mg / r 50 mg, comp.(MYLAN LAB LTD,INDIA)"/>
    <x v="14"/>
    <s v="31/07/2026"/>
    <d v="2026-07-31T00:00:00"/>
    <x v="2"/>
    <n v="328581.81818181818"/>
    <n v="64"/>
    <n v="64.378486055776889"/>
    <n v="64"/>
  </r>
  <r>
    <x v="0"/>
    <d v="2019-05-28T00:00:00"/>
    <d v="2026-05-28T00:00:00"/>
    <n v="407760"/>
    <s v="Each"/>
    <n v="3398"/>
    <s v="Box/Carton"/>
    <n v="0.88300000000000001"/>
    <n v="2.379"/>
    <n v="61164"/>
    <s v="Health"/>
    <s v="DORALPVR5T-;31/07/2019"/>
    <s v="DORALPVR5T-;31/07/2026"/>
    <s v="LPV 200 mg / r 50 mg, comp.(MYLAN LAB LTD,INDIA)"/>
    <x v="14"/>
    <s v="31/07/2026"/>
    <d v="2026-07-31T00:00:00"/>
    <x v="2"/>
    <n v="328581.81818181818"/>
    <n v="64"/>
    <n v="37.229083665338649"/>
    <n v="37.229083665338649"/>
  </r>
  <r>
    <x v="0"/>
    <d v="2019-05-28T00:00:00"/>
    <d v="2026-05-28T00:00:00"/>
    <n v="600"/>
    <s v="Each"/>
    <n v="20"/>
    <s v="Box/Carton"/>
    <n v="2E-3"/>
    <n v="7.0000000000000001E-3"/>
    <n v="105"/>
    <s v="Health"/>
    <s v="DORATEEM1T-;30/06/2020"/>
    <s v="DORATEEM1T-;30/06/2027"/>
    <s v="TDF 300 mg / FTC 200 mg, comp.(MYLAN LAB LTD,INDIA)"/>
    <x v="15"/>
    <s v="30/06/2027"/>
    <d v="2027-06-30T00:00:00"/>
    <x v="2"/>
    <n v="106150.90909090909"/>
    <n v="398"/>
    <n v="0.16956990904886696"/>
    <n v="0.16956990904886696"/>
  </r>
  <r>
    <x v="0"/>
    <d v="2019-05-28T00:00:00"/>
    <d v="2026-05-28T00:00:00"/>
    <n v="92880"/>
    <s v="Each"/>
    <n v="1548"/>
    <s v="Box/Carton"/>
    <n v="9.2999999999999999E-2"/>
    <n v="0.36699999999999999"/>
    <n v="8669"/>
    <s v="Health"/>
    <s v="DORAYIDO3T-;31/05/2021"/>
    <s v="DORAYIDO3T-;31/05/2028"/>
    <s v="ZIDOVUDINE [AZT], 300 mg, comp.(MYLAN LAB LTD,INDIA)"/>
    <x v="16"/>
    <s v="31/05/2028"/>
    <d v="2028-05-31T00:00:00"/>
    <x v="0"/>
    <n v="0"/>
    <n v="734"/>
    <n v="0"/>
    <n v="0"/>
  </r>
  <r>
    <x v="0"/>
    <d v="2019-05-28T00:00:00"/>
    <d v="2026-05-28T00:00:00"/>
    <n v="115"/>
    <s v="Each"/>
    <n v="1"/>
    <s v="Box/Carton"/>
    <n v="0.125"/>
    <n v="0.19700000000000001"/>
    <n v="690"/>
    <s v="Health"/>
    <s v="SLASWATE1B1;"/>
    <s v="SLASWATE1B1;"/>
    <s v="EAU DISTILLEE, 1 l, fl.(BAKKER-HAVU B.V.)"/>
    <x v="17"/>
    <s v=""/>
    <s v=""/>
    <x v="0"/>
    <n v="0"/>
    <n v="0"/>
    <n v="0"/>
    <n v="0"/>
  </r>
  <r>
    <x v="0"/>
    <d v="2019-05-28T00:00:00"/>
    <d v="2026-05-28T00:00:00"/>
    <n v="16950"/>
    <s v="Each"/>
    <n v="113"/>
    <s v="Box/Carton"/>
    <n v="0.17"/>
    <n v="0.17"/>
    <n v="2410"/>
    <s v="Health"/>
    <s v="DEXTLUBR8J-;30/09/2021"/>
    <s v="DEXTLUBR8J-;30/09/2028"/>
    <s v="LUBRIFIANT à usage général, soluble ds l'eau, gel, 82g, tube(Optimum Medical Solutions,UK)"/>
    <x v="18"/>
    <s v="30/09/2028"/>
    <d v="2028-09-30T00:00:00"/>
    <x v="0"/>
    <n v="0"/>
    <n v="856"/>
    <n v="0"/>
    <n v="0"/>
  </r>
  <r>
    <x v="0"/>
    <d v="2019-05-28T00:00:00"/>
    <d v="2026-05-28T00:00:00"/>
    <n v="3000"/>
    <s v="Each"/>
    <n v="50"/>
    <s v="Box/Carton"/>
    <n v="5.0000000000000001E-3"/>
    <n v="7.0999999999999994E-2"/>
    <n v="2775"/>
    <s v="Health"/>
    <s v="DORARALT4T-;01/06/2020"/>
    <s v="DORARALT4T-;01/06/2027"/>
    <s v="RALTEGRAVIR potassique [RAL], éq. 400 mg base, comp.(MSD IDEA AG, Switzerland)"/>
    <x v="19"/>
    <s v="01/06/2027"/>
    <d v="2027-06-01T00:00:00"/>
    <x v="0"/>
    <n v="0"/>
    <n v="369"/>
    <n v="0"/>
    <n v="0"/>
  </r>
  <r>
    <x v="0"/>
    <d v="2019-05-28T00:00:00"/>
    <d v="2026-05-28T00:00:00"/>
    <n v="1920"/>
    <s v="Each"/>
    <n v="32"/>
    <s v="Box/Carton"/>
    <n v="3.0000000000000001E-3"/>
    <n v="0.01"/>
    <n v="194"/>
    <s v="Health"/>
    <s v="DORAYILN2T-;31/03/2022"/>
    <s v="DORAYILN2T-;31/03/2029"/>
    <s v="AZT 300 mg / 3TC 150 mg / NVP 200 mg, comp.(MYLAN LAB LTD,INDIA)"/>
    <x v="20"/>
    <s v="31/03/2029"/>
    <d v="2029-03-31T00:00:00"/>
    <x v="2"/>
    <n v="613118.18181818177"/>
    <n v="1038"/>
    <n v="9.3945998843467826E-2"/>
    <n v="9.3945998843467826E-2"/>
  </r>
  <r>
    <x v="0"/>
    <d v="2019-05-28T00:00:00"/>
    <d v="2026-05-28T00:00:00"/>
    <n v="4000"/>
    <s v="Each"/>
    <n v="80"/>
    <s v="Box/Carton"/>
    <n v="6.0999999999999999E-2"/>
    <n v="0.184"/>
    <n v="113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0"/>
    <d v="2019-05-28T00:00:00"/>
    <d v="2026-05-28T00:00:00"/>
    <n v="16800"/>
    <s v="Each"/>
    <n v="336"/>
    <s v="Box/Carton"/>
    <n v="0.25700000000000001"/>
    <n v="0.77300000000000002"/>
    <n v="474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0"/>
    <d v="2019-05-28T00:00:00"/>
    <d v="2026-05-28T00:00:00"/>
    <n v="9750"/>
    <s v="Each"/>
    <n v="195"/>
    <s v="Box/Carton"/>
    <n v="0.14899999999999999"/>
    <n v="0.44900000000000001"/>
    <n v="275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0"/>
    <d v="2019-05-28T00:00:00"/>
    <d v="2026-05-28T00:00:00"/>
    <n v="5400"/>
    <s v="Each"/>
    <n v="90"/>
    <s v="Box/Carton"/>
    <n v="8.0000000000000002E-3"/>
    <n v="2.4E-2"/>
    <n v="4995"/>
    <s v="Health"/>
    <s v="DORARALT4T-;30/09/2019"/>
    <s v="DORARALT4T-;30/09/2026"/>
    <s v="RALTEGRAVIR potassique [RAL], éq. 400 mg base, comp.(Zhejiang Huahai Pharmaceutical Co.Ltd, China)"/>
    <x v="19"/>
    <s v="30/09/2026"/>
    <d v="2026-09-30T00:00:00"/>
    <x v="0"/>
    <n v="0"/>
    <n v="125"/>
    <n v="0"/>
    <n v="0"/>
  </r>
  <r>
    <x v="0"/>
    <d v="2019-05-28T00:00:00"/>
    <d v="2026-05-28T00:00:00"/>
    <n v="6720"/>
    <s v="Each"/>
    <n v="112"/>
    <s v="Box/Carton"/>
    <n v="0.01"/>
    <n v="2.9000000000000001E-2"/>
    <n v="6216"/>
    <s v="Health"/>
    <s v="DORARALT4T-;30/09/2019"/>
    <s v="DORARALT4T-;30/09/2026"/>
    <s v="RALTEGRAVIR potassique [RAL], éq. 400 mg base, comp.(Zhejiang Huahai Pharmaceutical Co.Ltd, China)"/>
    <x v="19"/>
    <s v="30/09/2026"/>
    <d v="2026-09-30T00:00:00"/>
    <x v="0"/>
    <n v="0"/>
    <n v="125"/>
    <n v="0"/>
    <n v="0"/>
  </r>
  <r>
    <x v="0"/>
    <d v="2019-05-28T00:00:00"/>
    <d v="2026-05-28T00:00:00"/>
    <n v="15"/>
    <s v="Each"/>
    <n v="1"/>
    <s v="Box/Carton"/>
    <n v="1.9E-2"/>
    <n v="1.2E-2"/>
    <n v="0"/>
    <s v="Health"/>
    <s v="ELAEHAEE3--;"/>
    <s v="ELAEHAEE3--;"/>
    <s v="PHOTOMETRE HEMOGLOBINE [HemoCue Hb 301], tropicalisé(COPACK GmbH, GERMANY)"/>
    <x v="22"/>
    <s v=""/>
    <s v=""/>
    <x v="0"/>
    <n v="0"/>
    <n v="0"/>
    <n v="0"/>
    <n v="0"/>
  </r>
  <r>
    <x v="0"/>
    <d v="2019-05-28T00:00:00"/>
    <d v="2026-05-28T00:00:00"/>
    <n v="25"/>
    <s v="Each"/>
    <n v="1"/>
    <s v="Box/Carton"/>
    <n v="5.0000000000000001E-3"/>
    <n v="1.4999999999999999E-2"/>
    <n v="0"/>
    <s v="Health"/>
    <s v="EMEQOTOS1--;"/>
    <s v="EMEQOTOS1--;"/>
    <s v="OTOSCOPE, halogène + SPECULUMS(HEINE Optotechnik GmbH &amp; Co, Germany)"/>
    <x v="23"/>
    <s v=""/>
    <s v=""/>
    <x v="0"/>
    <n v="0"/>
    <n v="0"/>
    <n v="0"/>
    <n v="0"/>
  </r>
  <r>
    <x v="0"/>
    <d v="2019-05-28T00:00:00"/>
    <d v="2026-05-28T00:00:00"/>
    <n v="285"/>
    <s v="Each"/>
    <n v="1"/>
    <s v="Box/Carton"/>
    <n v="4.7E-2"/>
    <n v="0.20300000000000001"/>
    <n v="0"/>
    <s v="Health"/>
    <s v="EMEQSTET2--;"/>
    <s v="EMEQSTET2--;"/>
    <s v="STETHOSCOPE, double, 2 diaphragmes, adulte / enfant(Zhuji Kangfu Instrument Machinery,China)"/>
    <x v="24"/>
    <s v=""/>
    <s v=""/>
    <x v="0"/>
    <n v="0"/>
    <n v="0"/>
    <n v="0"/>
    <n v="0"/>
  </r>
  <r>
    <x v="0"/>
    <d v="2019-05-28T00:00:00"/>
    <d v="2026-05-28T00:00:00"/>
    <n v="204"/>
    <s v="Each"/>
    <n v="204"/>
    <s v="Box/Carton"/>
    <n v="9.8000000000000004E-2"/>
    <n v="0.34300000000000003"/>
    <n v="0"/>
    <s v="Health"/>
    <s v="PCOLTHER35A;"/>
    <s v="PCOLTHER35A;"/>
    <s v="THERMOMETRE à alcool [Moëller 104614] -30°C-+50C°(TROGE MEDICAL GMBH, GERMANY)"/>
    <x v="25"/>
    <s v=""/>
    <s v=""/>
    <x v="0"/>
    <n v="0"/>
    <n v="0"/>
    <n v="0"/>
    <n v="0"/>
  </r>
  <r>
    <x v="0"/>
    <d v="2019-05-28T00:00:00"/>
    <d v="2026-05-28T00:00:00"/>
    <n v="28"/>
    <s v="Each"/>
    <n v="28"/>
    <s v="None/Loose"/>
    <n v="1E-3"/>
    <n v="2E-3"/>
    <n v="0"/>
    <s v="Health"/>
    <s v="EMEQTOUR1--;"/>
    <s v="EMEQTOUR1--;"/>
    <s v="GARROT élastique, 100 x 1,8 cm°(NP)"/>
    <x v="26"/>
    <s v=""/>
    <s v=""/>
    <x v="0"/>
    <n v="0"/>
    <n v="0"/>
    <n v="0"/>
    <n v="0"/>
  </r>
  <r>
    <x v="0"/>
    <d v="2019-05-28T00:00:00"/>
    <d v="2026-05-28T00:00:00"/>
    <n v="840"/>
    <s v="Each"/>
    <n v="840"/>
    <s v="None/Loose"/>
    <n v="1.7000000000000001E-2"/>
    <n v="0.27500000000000002"/>
    <n v="0"/>
    <s v="Health"/>
    <s v="SCTDTUGA08-;"/>
    <s v="SCTDTUGA08-;"/>
    <s v="SONDE GASTRIQUE, embout conique, 125 cm, u.u., CH08(TYCO HEALTHCARE GROUP LP,USA)"/>
    <x v="27"/>
    <s v=""/>
    <s v=""/>
    <x v="0"/>
    <n v="0"/>
    <n v="0"/>
    <n v="0"/>
    <n v="0"/>
  </r>
  <r>
    <x v="0"/>
    <d v="2019-05-28T00:00:00"/>
    <d v="2026-05-28T00:00:00"/>
    <n v="14"/>
    <s v="Each"/>
    <n v="14"/>
    <s v="None/Loose"/>
    <n v="1E-3"/>
    <n v="4.0000000000000001E-3"/>
    <n v="24"/>
    <s v="Health"/>
    <s v="SDREBANE104;"/>
    <s v="SDREBANE104;"/>
    <s v="BANDE CREPE [Velpeau], 10 cm x 4 m(ANJI ANSHEN SURGICAL DRESSINGS Co.Ltd, CHINA)"/>
    <x v="28"/>
    <s v=""/>
    <s v=""/>
    <x v="0"/>
    <n v="0"/>
    <n v="0"/>
    <n v="0"/>
    <n v="0"/>
  </r>
  <r>
    <x v="0"/>
    <d v="2019-05-28T00:00:00"/>
    <d v="2026-05-28T00:00:00"/>
    <n v="3600"/>
    <s v="Each"/>
    <n v="120"/>
    <s v="Box/Carton"/>
    <n v="0.16200000000000001"/>
    <n v="1.63"/>
    <n v="0"/>
    <s v="Health"/>
    <s v="SINSSYDL60-;"/>
    <s v="SINSSYDL60-;"/>
    <s v="SERINGUE, u.u., Luer, 60 ml(TYCO HEALTHCARE GROUP LP,USA)"/>
    <x v="29"/>
    <s v=""/>
    <s v=""/>
    <x v="0"/>
    <n v="0"/>
    <n v="0"/>
    <n v="0"/>
    <n v="0"/>
  </r>
  <r>
    <x v="0"/>
    <d v="2019-05-28T00:00:00"/>
    <d v="2026-05-28T00:00:00"/>
    <n v="960"/>
    <s v="Each"/>
    <n v="32"/>
    <s v="Box/Carton"/>
    <n v="6.6000000000000003E-2"/>
    <n v="0.66400000000000003"/>
    <n v="0"/>
    <s v="Health"/>
    <s v=""/>
    <s v=""/>
    <s v="SERINGUE, u.u., Luer, 60 ml(TYCO HEALTHCARE GROUP LP,USA)"/>
    <x v="4"/>
    <s v=""/>
    <s v=""/>
    <x v="0"/>
    <n v="0"/>
    <n v="0"/>
    <n v="0"/>
    <n v="0"/>
  </r>
  <r>
    <x v="0"/>
    <d v="2019-05-28T00:00:00"/>
    <d v="2026-05-28T00:00:00"/>
    <n v="43"/>
    <s v="Each"/>
    <n v="43"/>
    <s v="None/Loose"/>
    <n v="5.0000000000000001E-3"/>
    <n v="5.7000000000000002E-2"/>
    <n v="0"/>
    <s v="Health"/>
    <s v="ELABCYLG0100;"/>
    <s v="ELABCYLG0100;"/>
    <s v="EPROUVETTE, verre, graduée, à bec verseur 100 ml(VITLAB, GERMANY)"/>
    <x v="30"/>
    <s v=""/>
    <s v=""/>
    <x v="0"/>
    <n v="0"/>
    <n v="0"/>
    <n v="0"/>
    <n v="0"/>
  </r>
  <r>
    <x v="0"/>
    <d v="2019-05-28T00:00:00"/>
    <d v="2026-05-28T00:00:00"/>
    <n v="1218"/>
    <s v="Each"/>
    <n v="48"/>
    <s v="Box/Carton"/>
    <n v="2.3279999999999998"/>
    <n v="13.444000000000001"/>
    <n v="186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0"/>
    <d v="2019-05-28T00:00:00"/>
    <d v="2026-05-28T00:00:00"/>
    <n v="1044"/>
    <s v="Each"/>
    <n v="0"/>
    <s v="Box/Carton"/>
    <n v="8.0909999999999993"/>
    <n v="46.719000000000001"/>
    <n v="647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0"/>
    <d v="2019-05-28T00:00:00"/>
    <d v="2026-05-28T00:00:00"/>
    <n v="94"/>
    <s v="Each"/>
    <n v="94"/>
    <s v="None/Loose"/>
    <n v="0.72899999999999998"/>
    <n v="4.2069999999999999"/>
    <n v="484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0"/>
    <d v="2019-05-28T00:00:00"/>
    <d v="2026-05-28T00:00:00"/>
    <n v="300"/>
    <s v="Each"/>
    <n v="3"/>
    <s v="Box/Carton"/>
    <n v="3.0000000000000001E-3"/>
    <n v="2.1000000000000001E-2"/>
    <n v="122"/>
    <s v="Health"/>
    <s v="SMSUCONDF1-;30/04/2020"/>
    <s v="SMSUCONDF1-;30/04/2027"/>
    <s v="PRESERVATIF FEMININ, lubrifié, 170 mm, u.u.(CUPID LTD,INDIA)"/>
    <x v="3"/>
    <s v="30/04/2027"/>
    <d v="2027-04-30T00:00:00"/>
    <x v="0"/>
    <n v="0"/>
    <n v="337"/>
    <n v="0"/>
    <n v="0"/>
  </r>
  <r>
    <x v="0"/>
    <d v="2019-05-28T00:00:00"/>
    <d v="2026-05-28T00:00:00"/>
    <n v="549"/>
    <s v="Each"/>
    <n v="549"/>
    <s v="None/Loose"/>
    <n v="8.0000000000000002E-3"/>
    <n v="4.9000000000000002E-2"/>
    <n v="0"/>
    <s v="Health"/>
    <s v="STSSCONT1S-;"/>
    <s v="STSSCONT1S-;"/>
    <s v="POT A PRELEVEMENT, crachoir, plastique, non stérile()"/>
    <x v="32"/>
    <s v=""/>
    <s v=""/>
    <x v="0"/>
    <n v="0"/>
    <n v="0"/>
    <n v="0"/>
    <n v="0"/>
  </r>
  <r>
    <x v="0"/>
    <d v="2019-05-28T00:00:00"/>
    <d v="2026-05-28T00:00:00"/>
    <n v="2"/>
    <s v="Each"/>
    <n v="2"/>
    <s v="None/Loose"/>
    <n v="4.0000000000000001E-3"/>
    <n v="1E-3"/>
    <n v="0"/>
    <s v="Health"/>
    <s v="PTOOSCALA1510;"/>
    <s v="PTOOSCALA1510;"/>
    <s v="BALANCE sur piles, AC, 0-150kg, grad. 100g()"/>
    <x v="33"/>
    <s v=""/>
    <s v=""/>
    <x v="0"/>
    <n v="0"/>
    <n v="0"/>
    <n v="0"/>
    <n v="0"/>
  </r>
  <r>
    <x v="0"/>
    <d v="2019-05-28T00:00:00"/>
    <d v="2026-05-28T00:00:00"/>
    <n v="23"/>
    <s v="Each"/>
    <n v="23"/>
    <s v="None/Loose"/>
    <n v="0"/>
    <n v="1.7000000000000001E-2"/>
    <n v="0"/>
    <s v="Health"/>
    <s v="ELABBOTW0250;"/>
    <s v="ELABBOTW0250;"/>
    <s v="PISSETTE, col de cygne, plastique, 250 ml(Fisherbrand, USA)"/>
    <x v="34"/>
    <s v=""/>
    <s v=""/>
    <x v="0"/>
    <n v="0"/>
    <n v="0"/>
    <n v="0"/>
    <n v="0"/>
  </r>
  <r>
    <x v="0"/>
    <d v="2019-05-28T00:00:00"/>
    <d v="2026-05-28T00:00:00"/>
    <n v="38"/>
    <s v="Each"/>
    <n v="38"/>
    <s v="None/Loose"/>
    <n v="5.0000000000000001E-3"/>
    <n v="1.2999999999999999E-2"/>
    <n v="0"/>
    <s v="Health"/>
    <s v="ESTETIME1--;"/>
    <s v="ESTETIME1--;"/>
    <s v="MINUTEUR DE TABLE, 60 mn(NP)"/>
    <x v="35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4.0000000000000001E-3"/>
    <n v="2.5999999999999999E-2"/>
    <n v="0"/>
    <s v="Health"/>
    <s v="ELAECD4E1--;"/>
    <s v="ELAECD4E1--;"/>
    <s v="ANALYSEUR CD4 [PARTEC], 100-240V, 50-60Hz(Partec GmbH, Germany)"/>
    <x v="36"/>
    <s v=""/>
    <s v=""/>
    <x v="0"/>
    <n v="0"/>
    <n v="0"/>
    <n v="0"/>
    <n v="0"/>
  </r>
  <r>
    <x v="0"/>
    <d v="2019-05-28T00:00:00"/>
    <d v="2026-05-28T00:00:00"/>
    <n v="1000"/>
    <s v="Each"/>
    <n v="1"/>
    <s v="Bag/Sack"/>
    <n v="1E-3"/>
    <n v="2E-3"/>
    <n v="0"/>
    <s v="Health"/>
    <s v="ELABPIATB--;"/>
    <s v="ELABPIATB--;"/>
    <s v="[pip.aut.] EMBOUT BLEU, 50-1000µl [Eppdf](Plastibrand, Germany)"/>
    <x v="37"/>
    <s v=""/>
    <s v=""/>
    <x v="0"/>
    <n v="0"/>
    <n v="0"/>
    <n v="0"/>
    <n v="0"/>
  </r>
  <r>
    <x v="0"/>
    <d v="2019-05-28T00:00:00"/>
    <d v="2026-05-28T00:00:00"/>
    <n v="1000"/>
    <s v="Each"/>
    <n v="1"/>
    <s v="Bag/Sack"/>
    <n v="1E-3"/>
    <n v="7.0000000000000001E-3"/>
    <n v="0"/>
    <s v="Health"/>
    <s v="ELABPIATY--;"/>
    <s v="ELABPIATY--;"/>
    <s v="[pip.aut.] EMBOUT JAUNE, 2-200µl [Eppdf](Plastibrand, Germany)"/>
    <x v="38"/>
    <s v=""/>
    <s v=""/>
    <x v="0"/>
    <n v="0"/>
    <n v="0"/>
    <n v="0"/>
    <n v="0"/>
  </r>
  <r>
    <x v="0"/>
    <d v="2019-05-28T00:00:00"/>
    <d v="2026-05-28T00:00:00"/>
    <n v="11"/>
    <s v="Each"/>
    <n v="11"/>
    <s v="None/Loose"/>
    <n v="2E-3"/>
    <n v="2.8000000000000001E-2"/>
    <n v="0"/>
    <s v="Health"/>
    <s v="SINSCONT2P-;"/>
    <s v="SINSCONT2P-;"/>
    <s v="CONTAINER,regulated medical waste [UN3291](Fischer Brand, Canada)"/>
    <x v="39"/>
    <s v=""/>
    <s v=""/>
    <x v="0"/>
    <n v="0"/>
    <n v="0"/>
    <n v="0"/>
    <n v="0"/>
  </r>
  <r>
    <x v="0"/>
    <d v="2019-05-28T00:00:00"/>
    <d v="2026-05-28T00:00:00"/>
    <n v="13500"/>
    <s v="Each"/>
    <n v="135"/>
    <s v="Box/Carton"/>
    <n v="0.10299999999999999"/>
    <n v="0.311"/>
    <n v="348"/>
    <s v="Health"/>
    <s v="DINJWATE5A-;31/10/2020"/>
    <s v="DINJWATE5A-;31/10/2027"/>
    <s v="EAU pour injection, 5 ml, amp. plastique(LABESFAL-Laboratorios Almiro,Portugal)"/>
    <x v="40"/>
    <s v="31/10/2027"/>
    <d v="2027-10-31T00:00:00"/>
    <x v="0"/>
    <n v="0"/>
    <n v="521"/>
    <n v="0"/>
    <n v="0"/>
  </r>
  <r>
    <x v="0"/>
    <d v="2019-05-28T00:00:00"/>
    <d v="2026-05-28T00:00:00"/>
    <n v="14"/>
    <s v="Each"/>
    <n v="14"/>
    <s v="Box/Carton"/>
    <n v="3.5000000000000003E-2"/>
    <n v="3.5000000000000003E-2"/>
    <n v="0"/>
    <s v="Health"/>
    <s v=""/>
    <s v=""/>
    <s v="GLYCEROL ANHYDROUS 2.5L(APPLICHEM)"/>
    <x v="4"/>
    <s v=""/>
    <s v=""/>
    <x v="0"/>
    <n v="0"/>
    <n v="0"/>
    <n v="0"/>
    <n v="0"/>
  </r>
  <r>
    <x v="0"/>
    <d v="2019-05-28T00:00:00"/>
    <d v="2026-05-28T00:00:00"/>
    <n v="14"/>
    <s v="Each"/>
    <n v="14"/>
    <s v="Box/Carton"/>
    <n v="2E-3"/>
    <n v="5.0000000000000001E-3"/>
    <n v="0"/>
    <s v="Health"/>
    <s v="ELABTUCER1-;"/>
    <s v="ELABTUCER1-;"/>
    <s v="[tube à centrifuger, Ø 18 mm] PORTOIR(NALGENE,USA)"/>
    <x v="41"/>
    <s v=""/>
    <s v=""/>
    <x v="0"/>
    <n v="0"/>
    <n v="0"/>
    <n v="0"/>
    <n v="0"/>
  </r>
  <r>
    <x v="0"/>
    <d v="2019-05-28T00:00:00"/>
    <d v="2026-05-28T00:00:00"/>
    <n v="14"/>
    <s v="Each"/>
    <n v="14"/>
    <s v="None/Loose"/>
    <n v="3.5000000000000003E-2"/>
    <n v="3.5000000000000003E-2"/>
    <n v="0"/>
    <s v="Health"/>
    <s v=""/>
    <s v=""/>
    <s v="PROPANEDOL 2.5 L(REAGENT CHEMICAL SERVICES LIMITED)"/>
    <x v="4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1.4999999999999999E-2"/>
    <n v="2E-3"/>
    <n v="0"/>
    <s v="Health"/>
    <s v=""/>
    <s v=""/>
    <s v="PARTEC"/>
    <x v="4"/>
    <s v=""/>
    <s v=""/>
    <x v="0"/>
    <n v="0"/>
    <n v="0"/>
    <n v="0"/>
    <n v="0"/>
  </r>
  <r>
    <x v="0"/>
    <d v="2019-05-28T00:00:00"/>
    <d v="2026-05-28T00:00:00"/>
    <n v="244"/>
    <s v="Each"/>
    <n v="244"/>
    <s v="None/Loose"/>
    <n v="1E-3"/>
    <n v="4.0000000000000001E-3"/>
    <n v="0"/>
    <s v="Health"/>
    <s v="STSSBSVVH1-;"/>
    <s v="STSSBSVVH1-;"/>
    <s v="[s.prél.sang.] CORPS PORTE TUBE avec éjecteur d'aiguille(Greiner bio-one, Austria)"/>
    <x v="42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1E-3"/>
    <n v="5.0000000000000001E-3"/>
    <n v="0"/>
    <s v="Health"/>
    <s v="ELABPIAA1000;"/>
    <s v="ELABPIAA1000;"/>
    <s v="PIPETTE AUTOMATIQUE, vol. réglable 100-1000 µl [Eppendorf](Eppendorf, Germany)"/>
    <x v="43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0"/>
    <n v="1E-3"/>
    <n v="0"/>
    <s v="Health"/>
    <s v="ELABPIAA0200;"/>
    <s v="ELABPIAA0200;"/>
    <s v="PIPETTE AUTOMATIQUE, vol. réglable 20-200 µl [Eppendorf](Eppendorf, Germany)"/>
    <x v="44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0"/>
    <n v="1E-3"/>
    <n v="0"/>
    <s v="Health"/>
    <s v="ELABPIAA0100;"/>
    <s v="ELABPIAA0100;"/>
    <s v="PIPETTE AUTOMATIQUE, vol. réglable 10-100 µl [Eppendorf](Eppendorf, Germany)"/>
    <x v="45"/>
    <s v=""/>
    <s v=""/>
    <x v="0"/>
    <n v="0"/>
    <n v="0"/>
    <n v="0"/>
    <n v="0"/>
  </r>
  <r>
    <x v="0"/>
    <d v="2019-05-28T00:00:00"/>
    <d v="2026-05-28T00:00:00"/>
    <n v="290"/>
    <s v="Each"/>
    <n v="290"/>
    <s v="Box/Carton"/>
    <n v="0.115"/>
    <n v="0.10100000000000001"/>
    <n v="0"/>
    <s v="Health"/>
    <s v="ELABMILP1--;"/>
    <s v="ELABMILP1--;"/>
    <s v="MANCHE PASTEUR + anse, nickel chrome()"/>
    <x v="46"/>
    <s v=""/>
    <s v=""/>
    <x v="0"/>
    <n v="0"/>
    <n v="0"/>
    <n v="0"/>
    <n v="0"/>
  </r>
  <r>
    <x v="0"/>
    <d v="2019-05-28T00:00:00"/>
    <d v="2026-05-28T00:00:00"/>
    <n v="800"/>
    <s v="Each"/>
    <n v="800"/>
    <s v="None/Loose"/>
    <n v="1.7999999999999999E-2"/>
    <n v="3.0000000000000001E-3"/>
    <n v="0"/>
    <s v="Health"/>
    <s v=""/>
    <s v=""/>
    <s v="SAC A POUBELLE, 30 L(VOUSSERT, France)"/>
    <x v="4"/>
    <s v=""/>
    <s v=""/>
    <x v="0"/>
    <n v="0"/>
    <n v="0"/>
    <n v="0"/>
    <n v="0"/>
  </r>
  <r>
    <x v="0"/>
    <d v="2019-05-28T00:00:00"/>
    <d v="2026-05-28T00:00:00"/>
    <n v="1"/>
    <s v="Each"/>
    <n v="1"/>
    <s v="None/Loose"/>
    <n v="4.4999999999999998E-2"/>
    <n v="5.0000000000000001E-3"/>
    <n v="0"/>
    <s v="Health"/>
    <s v=""/>
    <s v=""/>
    <s v="[CD4 Analyseur Partec] TRANSFORMATEUR()"/>
    <x v="4"/>
    <s v=""/>
    <s v=""/>
    <x v="0"/>
    <n v="0"/>
    <n v="0"/>
    <n v="0"/>
    <n v="0"/>
  </r>
  <r>
    <x v="0"/>
    <d v="2019-05-28T00:00:00"/>
    <d v="2026-05-28T00:00:00"/>
    <n v="60600"/>
    <s v="Each"/>
    <n v="50"/>
    <s v="Box/Carton"/>
    <n v="0.63100000000000001"/>
    <n v="4.5940000000000003"/>
    <n v="2697"/>
    <s v="Health"/>
    <s v="SINSSYDL05-;30/04/2023"/>
    <s v="SINSSYDL05-;30/04/2030"/>
    <s v="SERINGUE, u.u., Luer, 5 ml(Hindustan syringes &amp; medical service , India)"/>
    <x v="47"/>
    <s v="30/04/2030"/>
    <d v="2030-04-30T00:00:00"/>
    <x v="0"/>
    <n v="0"/>
    <n v="1433"/>
    <n v="0"/>
    <n v="0"/>
  </r>
  <r>
    <x v="0"/>
    <d v="2019-05-28T00:00:00"/>
    <d v="2026-05-28T00:00:00"/>
    <n v="519"/>
    <s v="Each"/>
    <n v="20"/>
    <s v="Box/Carton"/>
    <n v="0.16800000000000001"/>
    <n v="0.40899999999999997"/>
    <n v="285"/>
    <s v="Health"/>
    <s v="SINSCONT5C-;30/09/2022"/>
    <s v="SINSCONT5C-;30/09/2029"/>
    <s v="CONTAINER, aiguilles/seringues, 5 l, carton pr incinération(HINDUSTANSYRINGES &amp; MEDICAL DIVICES LTD,INDIA)"/>
    <x v="31"/>
    <s v="30/09/2029"/>
    <d v="2029-09-30T00:00:00"/>
    <x v="0"/>
    <n v="0"/>
    <n v="1221"/>
    <n v="0"/>
    <n v="0"/>
  </r>
  <r>
    <x v="0"/>
    <d v="2019-05-28T00:00:00"/>
    <d v="2026-05-28T00:00:00"/>
    <n v="14480"/>
    <s v="Each"/>
    <n v="144"/>
    <s v="Box/Carton"/>
    <n v="0.111"/>
    <n v="1.0549999999999999"/>
    <n v="1332"/>
    <s v="Health"/>
    <s v="DINJWATE5A-;31/05/2021"/>
    <s v="DINJWATE5A-;31/05/2028"/>
    <s v="EAU pour injection, 5 ml, amp. plastique(LABESFAL-Laboratorios Almiro,Portugal)"/>
    <x v="40"/>
    <s v="31/05/2028"/>
    <d v="2028-05-31T00:00:00"/>
    <x v="0"/>
    <n v="0"/>
    <n v="734"/>
    <n v="0"/>
    <n v="0"/>
  </r>
  <r>
    <x v="0"/>
    <d v="2019-05-28T00:00:00"/>
    <d v="2026-05-28T00:00:00"/>
    <n v="20"/>
    <s v="Each"/>
    <n v="1"/>
    <s v="Kit/Set"/>
    <n v="0"/>
    <n v="4.0000000000000001E-3"/>
    <n v="32"/>
    <s v="Health"/>
    <s v="SSDTHIVU20T;07/09/2019"/>
    <s v="SSDTHIVU20T;07/09/2026"/>
    <s v="TEST VIH 1 + 2 [Uni-Gold], sér/pl/st, 1 test 1206502(TRINITY BIOTECH PLC, IRELAND)"/>
    <x v="48"/>
    <s v="07/09/2026"/>
    <d v="2026-09-07T00:00:00"/>
    <x v="2"/>
    <n v="1709.090909090909"/>
    <n v="102"/>
    <n v="0.35106382978723411"/>
    <n v="0.35106382978723411"/>
  </r>
  <r>
    <x v="0"/>
    <d v="2019-05-28T00:00:00"/>
    <d v="2026-05-28T00:00:00"/>
    <n v="50100"/>
    <s v="Each"/>
    <n v="1670"/>
    <s v="Box/Carton"/>
    <n v="0.13600000000000001"/>
    <n v="0.96499999999999997"/>
    <n v="5261"/>
    <s v="Health"/>
    <s v="DORAEFAV6T-;28/02/2021"/>
    <s v="DORAEFAV6T-;28/02/2028"/>
    <s v="EFAVIRENZ [EFV], 600 mg, comp.(CIPLA Ltd, INDIA)"/>
    <x v="49"/>
    <s v="28/02/2028"/>
    <d v="2028-02-28T00:00:00"/>
    <x v="2"/>
    <n v="875183.636363636"/>
    <n v="641"/>
    <n v="1.7173538644357242"/>
    <n v="1.7173538644357242"/>
  </r>
  <r>
    <x v="0"/>
    <d v="2019-05-28T00:00:00"/>
    <d v="2026-05-28T00:00:00"/>
    <n v="118800"/>
    <s v="Each"/>
    <n v="3960"/>
    <s v="Bag/Sack"/>
    <n v="0.32100000000000001"/>
    <n v="2.2890000000000001"/>
    <n v="12474"/>
    <s v="Health"/>
    <s v="DORAEFAV6T-;28/02/2021"/>
    <s v="DORAEFAV6T-;28/02/2028"/>
    <s v="EFAVIRENZ [EFV], 600 mg, comp.(CIPLA Ltd, INDIA)"/>
    <x v="49"/>
    <s v="28/02/2028"/>
    <d v="2028-02-28T00:00:00"/>
    <x v="2"/>
    <n v="875183.636363636"/>
    <n v="641"/>
    <n v="4.0722882054883041"/>
    <n v="4.0722882054883041"/>
  </r>
  <r>
    <x v="0"/>
    <d v="2019-05-28T00:00:00"/>
    <d v="2026-05-28T00:00:00"/>
    <n v="80"/>
    <s v="Each"/>
    <n v="4"/>
    <s v="Kit/Set"/>
    <n v="1E-3"/>
    <n v="1.6E-2"/>
    <n v="128"/>
    <s v="Health"/>
    <s v="SSDTHIVU20T;07/09/2019"/>
    <s v="SSDTHIVU20T;07/09/2026"/>
    <s v="TEST VIH 1 + 2 [Uni-Gold], sér/pl/st, 1 test 1206502(TRINITY BIOTECH PLC, IRELAND)"/>
    <x v="48"/>
    <s v="07/09/2026"/>
    <d v="2026-09-07T00:00:00"/>
    <x v="2"/>
    <n v="1709.090909090909"/>
    <n v="102"/>
    <n v="1.4042553191489364"/>
    <n v="1.4042553191489364"/>
  </r>
  <r>
    <x v="0"/>
    <d v="2019-05-28T00:00:00"/>
    <d v="2026-05-28T00:00:00"/>
    <n v="607800"/>
    <s v="Each"/>
    <n v="10130"/>
    <s v="Box/Carton"/>
    <n v="0.81"/>
    <n v="3.0390000000000001"/>
    <n v="51663"/>
    <s v="Health"/>
    <s v="DORAYILA2T-;28/02/2023"/>
    <s v="DORAYILA2T-;28/02/2030"/>
    <s v="AZT 300 mg / 3TC 150 mg, comp.(MYLAN LAB LTD,INDIA)"/>
    <x v="50"/>
    <s v="28/02/2030"/>
    <d v="2030-02-28T00:00:00"/>
    <x v="2"/>
    <n v="704712.72727272694"/>
    <n v="1372"/>
    <n v="25.874373052075388"/>
    <n v="25.874373052075388"/>
  </r>
  <r>
    <x v="0"/>
    <d v="2019-05-28T00:00:00"/>
    <d v="2026-05-28T00:00:00"/>
    <n v="315300"/>
    <s v="Each"/>
    <n v="5255"/>
    <s v="Box/Carton"/>
    <n v="0.42"/>
    <n v="1.577"/>
    <n v="26801"/>
    <s v="Health"/>
    <s v="DORAYILA2T-;28/02/2023"/>
    <s v="DORAYILA2T-;28/02/2030"/>
    <s v="AZT 300 mg / 3TC 150 mg, comp.(MYLAN LAB LTD,INDIA)"/>
    <x v="50"/>
    <s v="28/02/2030"/>
    <d v="2030-02-28T00:00:00"/>
    <x v="2"/>
    <n v="704712.72727272694"/>
    <n v="1372"/>
    <n v="13.422490660281952"/>
    <n v="13.422490660281952"/>
  </r>
  <r>
    <x v="0"/>
    <d v="2019-05-28T00:00:00"/>
    <d v="2026-05-28T00:00:00"/>
    <n v="14760"/>
    <s v="Each"/>
    <n v="492"/>
    <s v="Box/Carton"/>
    <n v="6.0999999999999999E-2"/>
    <n v="0.24199999999999999"/>
    <n v="7375"/>
    <s v="Health"/>
    <s v="DORAATVR3T-;30/04/2021"/>
    <s v="DORAATVR3T-;30/04/2028"/>
    <s v="ATV 300 mg / r 100 mg, comp.(MYLAN LAB LTD,INDIA)"/>
    <x v="51"/>
    <s v="30/04/2028"/>
    <d v="2028-04-30T00:00:00"/>
    <x v="0"/>
    <n v="0"/>
    <n v="703"/>
    <n v="0"/>
    <n v="0"/>
  </r>
  <r>
    <x v="0"/>
    <d v="2019-05-28T00:00:00"/>
    <d v="2026-05-28T00:00:00"/>
    <n v="63360"/>
    <s v="Each"/>
    <n v="1056"/>
    <s v="Bag/Sack"/>
    <n v="3.7999999999999999E-2"/>
    <n v="0.19"/>
    <n v="2112"/>
    <s v="Health"/>
    <s v="DORALAMI1T-;30/04/2020"/>
    <s v="DORALAMI1T-;30/04/2027"/>
    <s v="LAMIVUDINE [3TC], 150 mg, comp.(MYLAN LAB LTD,INDIA)"/>
    <x v="5"/>
    <s v="30/04/2027"/>
    <d v="2027-04-30T00:00:00"/>
    <x v="0"/>
    <n v="0"/>
    <n v="337"/>
    <n v="0"/>
    <n v="0"/>
  </r>
  <r>
    <x v="0"/>
    <d v="2019-05-28T00:00:00"/>
    <d v="2026-05-28T00:00:00"/>
    <n v="1080"/>
    <s v="Each"/>
    <n v="18"/>
    <s v="Box/Carton"/>
    <n v="2E-3"/>
    <n v="5.0000000000000001E-3"/>
    <n v="109"/>
    <s v="Health"/>
    <s v="DORAYILN2T-;30/04/2023"/>
    <s v="DORAYILN2T-;30/04/2030"/>
    <s v="AZT 300 mg / 3TC 150 mg / NVP 200 mg, comp.(MYLAN LAB LTD,INDIA)"/>
    <x v="20"/>
    <s v="30/04/2030"/>
    <d v="2030-04-30T00:00:00"/>
    <x v="2"/>
    <n v="613118.18181818177"/>
    <n v="1433"/>
    <n v="5.2844624349450649E-2"/>
    <n v="5.2844624349450649E-2"/>
  </r>
  <r>
    <x v="0"/>
    <d v="2019-05-28T00:00:00"/>
    <d v="2026-05-28T00:00:00"/>
    <n v="82560"/>
    <s v="Each"/>
    <n v="1376"/>
    <s v="Box/Carton"/>
    <n v="0.127"/>
    <n v="0.432"/>
    <n v="9426"/>
    <s v="Health"/>
    <s v="DORARITO1T2;31/01/2020"/>
    <s v="DORARITO1T2;31/01/2027"/>
    <s v="RITONAVIR [r], 100 mg, comp.(AbbVie Deutschland GmbH &amp; Co. KG, Knollstrasse, 67061 Ludwigshafen, Germany)"/>
    <x v="52"/>
    <s v="31/01/2027"/>
    <d v="2027-01-31T00:00:00"/>
    <x v="0"/>
    <n v="0"/>
    <n v="248"/>
    <n v="0"/>
    <n v="0"/>
  </r>
  <r>
    <x v="0"/>
    <d v="2019-05-28T00:00:00"/>
    <d v="2026-05-28T00:00:00"/>
    <n v="301224"/>
    <s v="Each"/>
    <n v="3586"/>
    <s v="Box/Carton"/>
    <n v="0.26100000000000001"/>
    <n v="1.359"/>
    <n v="10041"/>
    <s v="Health"/>
    <s v="DORAHRIF5TD1;31/07/2020"/>
    <s v="DORAHRIF5TD1;31/07/2027"/>
    <s v="H 50 mg / R 75 mg, comp. disp., blister(OXALIS LABS, INDIA)"/>
    <x v="11"/>
    <s v="31/07/2027"/>
    <d v="2027-07-31T00:00:00"/>
    <x v="1"/>
    <n v="20312.727272727272"/>
    <n v="429"/>
    <n v="444.87969924812029"/>
    <n v="429"/>
  </r>
  <r>
    <x v="0"/>
    <d v="2019-05-28T00:00:00"/>
    <d v="2026-05-28T00:00:00"/>
    <n v="263256"/>
    <s v="Each"/>
    <n v="3134"/>
    <s v="Box/Carton"/>
    <n v="0.23699999999999999"/>
    <n v="1.1579999999999999"/>
    <n v="10656"/>
    <s v="Health"/>
    <s v="DORAHZRI5TD1;31/07/2020"/>
    <s v="DORAHZRI5TD1;31/07/2027"/>
    <s v="H 50 mg / Z 150 mg / R 75 mg, comp. disp., blister(OXALIS LABS, INDIA)"/>
    <x v="12"/>
    <s v="31/07/2027"/>
    <d v="2027-07-31T00:00:00"/>
    <x v="1"/>
    <n v="80889.4545454545"/>
    <n v="429"/>
    <n v="97.635471080621869"/>
    <n v="97.635471080621869"/>
  </r>
  <r>
    <x v="0"/>
    <d v="2019-05-28T00:00:00"/>
    <d v="2026-05-28T00:00:00"/>
    <n v="46560"/>
    <s v="Each"/>
    <n v="776"/>
    <s v="Box/Carton"/>
    <n v="0.13700000000000001"/>
    <n v="0.81899999999999995"/>
    <n v="5316"/>
    <s v="Health"/>
    <s v="DORARITO1T2;31/01/2020"/>
    <s v="DORARITO1T2;31/01/2027"/>
    <s v="RITONAVIR [r], 100 mg, comp.(AbbVie Deutschland GmbH &amp; Co. KG, Knollstrasse, 67061 Ludwigshafen, Germany)"/>
    <x v="52"/>
    <s v="31/01/2027"/>
    <d v="2027-01-31T00:00:00"/>
    <x v="0"/>
    <n v="0"/>
    <n v="248"/>
    <n v="0"/>
    <n v="0"/>
  </r>
  <r>
    <x v="0"/>
    <d v="2019-05-28T00:00:00"/>
    <d v="2026-05-28T00:00:00"/>
    <n v="964620"/>
    <s v="Each"/>
    <n v="32154"/>
    <s v="Box/Carton"/>
    <n v="2.827"/>
    <n v="6.2380000000000004"/>
    <n v="81993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065746201836099"/>
    <n v="33.065746201836099"/>
  </r>
  <r>
    <x v="0"/>
    <d v="2019-05-28T00:00:00"/>
    <d v="2026-05-28T00:00:00"/>
    <n v="6700"/>
    <s v="Each"/>
    <n v="134"/>
    <s v="Box/Carton"/>
    <n v="0.10299999999999999"/>
    <n v="0.308"/>
    <n v="192"/>
    <s v="Health"/>
    <s v="DINJWATE1A-;31/05/2020"/>
    <s v="DINJWATE1A-;31/05/2027"/>
    <s v="EAU pour injection, 10 ml, amp. plastique(Otsuka Pceutical , India)"/>
    <x v="21"/>
    <s v="31/05/2027"/>
    <d v="2027-05-31T00:00:00"/>
    <x v="0"/>
    <n v="0"/>
    <n v="368"/>
    <n v="0"/>
    <n v="0"/>
  </r>
  <r>
    <x v="0"/>
    <d v="2019-05-28T00:00:00"/>
    <d v="2026-05-28T00:00:00"/>
    <n v="964800"/>
    <s v="Each"/>
    <n v="32160"/>
    <s v="Box/Carton"/>
    <n v="2.3159999999999998"/>
    <n v="6.2389999999999999"/>
    <n v="82008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071916335480779"/>
    <n v="33.071916335480779"/>
  </r>
  <r>
    <x v="0"/>
    <d v="2019-05-28T00:00:00"/>
    <d v="2026-05-28T00:00:00"/>
    <n v="630840"/>
    <s v="Each"/>
    <n v="21028"/>
    <s v="Box/Carton"/>
    <n v="1.514"/>
    <n v="4.0789999999999997"/>
    <n v="53621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21.624261713385877"/>
    <n v="21.624261713385877"/>
  </r>
  <r>
    <x v="0"/>
    <d v="2019-05-28T00:00:00"/>
    <d v="2026-05-28T00:00:00"/>
    <n v="218010"/>
    <s v="Each"/>
    <n v="7267"/>
    <s v="Box/Carton"/>
    <n v="0.52300000000000002"/>
    <n v="1.41"/>
    <n v="18531"/>
    <s v="Health"/>
    <s v="DORAEFAV6T-;30/06/2021"/>
    <s v="DORAEFAV6T-;30/06/2028"/>
    <s v="EFAVIRENZ [EFV], 600 mg, comp.(Aurobindo Pharma Limited, India)"/>
    <x v="49"/>
    <s v="30/06/2028"/>
    <d v="2028-06-30T00:00:00"/>
    <x v="2"/>
    <n v="875183.636363636"/>
    <n v="764"/>
    <n v="7.4730601993140171"/>
    <n v="7.4730601993140171"/>
  </r>
  <r>
    <x v="0"/>
    <d v="2019-05-28T00:00:00"/>
    <d v="2026-05-28T00:00:00"/>
    <n v="252000"/>
    <s v="Each"/>
    <n v="8400"/>
    <s v="Box/Carton"/>
    <n v="0.60499999999999998"/>
    <n v="1.63"/>
    <n v="21420"/>
    <s v="Health"/>
    <s v="DORAEFAV6T-;30/06/2021"/>
    <s v="DORAEFAV6T-;30/06/2028"/>
    <s v="EFAVIRENZ [EFV], 600 mg, comp.(Aurobindo Pharma Limited, India)"/>
    <x v="49"/>
    <s v="30/06/2028"/>
    <d v="2028-06-30T00:00:00"/>
    <x v="2"/>
    <n v="875183.636363636"/>
    <n v="764"/>
    <n v="8.6381871025509493"/>
    <n v="8.6381871025509493"/>
  </r>
  <r>
    <x v="0"/>
    <d v="2019-05-28T00:00:00"/>
    <d v="2026-05-28T00:00:00"/>
    <n v="968400"/>
    <s v="Each"/>
    <n v="32280"/>
    <s v="Box/Carton"/>
    <n v="2.3239999999999998"/>
    <n v="6.2619999999999996"/>
    <n v="82314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195319008374355"/>
    <n v="33.195319008374355"/>
  </r>
  <r>
    <x v="0"/>
    <d v="2019-05-28T00:00:00"/>
    <d v="2026-05-28T00:00:00"/>
    <n v="5200"/>
    <s v="Each"/>
    <n v="52"/>
    <s v="Box/Carton"/>
    <n v="9.4E-2"/>
    <n v="0.26"/>
    <n v="3328"/>
    <s v="Health"/>
    <s v="DINJSTRE1V-;31/12/2021"/>
    <s v="DINJSTRE1V-;31/12/2028"/>
    <s v="STREPTOMYCINE sulfate, éq. 1 g base, poudre, fl.(Lab. REIG JOFRE, SPAIN)"/>
    <x v="6"/>
    <s v="31/12/2028"/>
    <d v="2028-12-31T00:00:00"/>
    <x v="1"/>
    <n v="1736.3636363636363"/>
    <n v="948"/>
    <n v="89.842931937172779"/>
    <n v="89.842931937172779"/>
  </r>
  <r>
    <x v="0"/>
    <d v="2019-05-28T00:00:00"/>
    <d v="2026-05-28T00:00:00"/>
    <n v="27800"/>
    <s v="Each"/>
    <n v="278"/>
    <s v="Box/Carton"/>
    <n v="0.5"/>
    <n v="1.39"/>
    <n v="17792"/>
    <s v="Health"/>
    <s v="DINJSTRE1V-;31/01/2022"/>
    <s v="DINJSTRE1V-;31/01/2029"/>
    <s v="STREPTOMYCINE sulfate, éq. 1 g base, poudre, fl.(Lab. REIG JOFRE, SPAIN)"/>
    <x v="6"/>
    <s v="31/01/2029"/>
    <d v="2029-01-31T00:00:00"/>
    <x v="1"/>
    <n v="1736.3636363636363"/>
    <n v="979"/>
    <n v="480.3141361256545"/>
    <n v="480.3141361256545"/>
  </r>
  <r>
    <x v="0"/>
    <d v="2019-05-28T00:00:00"/>
    <d v="2026-05-28T00:00:00"/>
    <n v="30"/>
    <s v="Each"/>
    <n v="1"/>
    <s v="Box/Carton"/>
    <n v="0"/>
    <n v="0"/>
    <n v="9"/>
    <s v="Health"/>
    <s v="DORAABLA2T3;  30/09/2020"/>
    <s v="DORAABLA2T3;30/09/2027"/>
    <s v="ABC 600 mg / 3TC 300 mg, comp.(MYLAN LAB LTD,INDIA)"/>
    <x v="53"/>
    <s v="30/09/2027"/>
    <d v="2027-09-30T00:00:00"/>
    <x v="2"/>
    <n v="25450.909090909092"/>
    <n v="490"/>
    <n v="3.5362194599228465E-2"/>
    <n v="3.5362194599228465E-2"/>
  </r>
  <r>
    <x v="0"/>
    <d v="2019-05-28T00:00:00"/>
    <d v="2026-05-28T00:00:00"/>
    <n v="168000"/>
    <s v="Each"/>
    <n v="2800"/>
    <s v="Box/Carton"/>
    <n v="0.10100000000000001"/>
    <n v="0.504"/>
    <n v="4984"/>
    <s v="Health"/>
    <s v="DORALAMI1T-;30/06/2021"/>
    <s v="DORALAMI1T-;30/06/2028"/>
    <s v="LAMIVUDINE [3TC], 150 mg, comp.(MACLEODS PHARMACEUTICAL LIMITED,INDIA)"/>
    <x v="5"/>
    <s v="30/06/2028"/>
    <d v="2028-06-30T00:00:00"/>
    <x v="0"/>
    <n v="0"/>
    <n v="764"/>
    <n v="0"/>
    <n v="0"/>
  </r>
  <r>
    <x v="0"/>
    <d v="2019-05-28T00:00:00"/>
    <d v="2026-05-28T00:00:00"/>
    <n v="87270"/>
    <s v="Each"/>
    <n v="2909"/>
    <s v="Box/Carton"/>
    <n v="0.36"/>
    <n v="1.431"/>
    <n v="37788"/>
    <s v="Health"/>
    <s v="DORAATVR3T-;31/07/2021"/>
    <s v="DORAATVR3T-;31/07/2028"/>
    <s v="ATV 300 mg / r 100 mg, comp.(MYLAN LAB LTD,INDIA)"/>
    <x v="51"/>
    <s v="31/07/2028"/>
    <d v="2028-07-31T00:00:00"/>
    <x v="0"/>
    <n v="0"/>
    <n v="795"/>
    <n v="0"/>
    <n v="0"/>
  </r>
  <r>
    <x v="0"/>
    <d v="2019-05-28T00:00:00"/>
    <d v="2026-05-28T00:00:00"/>
    <n v="318060"/>
    <s v="Each"/>
    <n v="5301"/>
    <s v="Box/Carton"/>
    <n v="0.26500000000000001"/>
    <n v="1.06"/>
    <n v="11662"/>
    <s v="Health"/>
    <s v="DORANEVI2T-;31/10/2022"/>
    <s v="DORANEVI2T-;31/10/2029"/>
    <s v="NEVIRAPINE [NVP], 200 mg, comp. (MYLAN LAB LTD,INDIA)"/>
    <x v="54"/>
    <s v="31/10/2029"/>
    <d v="2029-10-31T00:00:00"/>
    <x v="2"/>
    <n v="44449.090909090912"/>
    <n v="1252"/>
    <n v="214.66805743035957"/>
    <n v="214.66805743035957"/>
  </r>
  <r>
    <x v="0"/>
    <d v="2019-05-28T00:00:00"/>
    <d v="2026-05-28T00:00:00"/>
    <n v="53160"/>
    <s v="Each"/>
    <n v="886"/>
    <s v="Box/Carton"/>
    <n v="0.13600000000000001"/>
    <n v="0.36899999999999999"/>
    <n v="47844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0"/>
    <d v="2019-05-28T00:00:00"/>
    <d v="2026-05-28T00:00:00"/>
    <n v="114840"/>
    <s v="Each"/>
    <n v="1914"/>
    <s v="Box/Carton"/>
    <n v="0.29399999999999998"/>
    <n v="0.79800000000000004"/>
    <n v="103356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0"/>
    <d v="2019-05-28T00:00:00"/>
    <d v="2026-05-28T00:00:00"/>
    <n v="61680"/>
    <s v="Each"/>
    <n v="1028"/>
    <s v="Box/Carton"/>
    <n v="0.158"/>
    <n v="0.42899999999999999"/>
    <n v="55512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0"/>
    <d v="2019-05-28T00:00:00"/>
    <d v="2026-05-28T00:00:00"/>
    <n v="81630"/>
    <s v="Each"/>
    <n v="2721"/>
    <s v="Box/Carton"/>
    <n v="0.11899999999999999"/>
    <n v="1.407"/>
    <n v="23809"/>
    <s v="Health"/>
    <s v="DORAABLA2T3;31/01/2021"/>
    <s v="DORAABLA2T3;31/01/2028"/>
    <s v="ABC 600 mg / 3TC 300 mg, comp.(MYLAN LAB LTD,INDIA):3095052"/>
    <x v="53"/>
    <s v="31/01/2028"/>
    <d v="2028-01-31T00:00:00"/>
    <x v="2"/>
    <n v="25450.909090909092"/>
    <n v="613"/>
    <n v="96.220531504500627"/>
    <n v="96.220531504500627"/>
  </r>
  <r>
    <x v="0"/>
    <d v="2019-05-28T00:00:00"/>
    <d v="2026-05-28T00:00:00"/>
    <n v="23900"/>
    <s v="Each"/>
    <n v="239"/>
    <s v="Box/Carton"/>
    <n v="3.7999999999999999E-2"/>
    <n v="0.10299999999999999"/>
    <n v="19120"/>
    <s v="Health"/>
    <s v="SSDTHIVD10T;01/01/2020"/>
    <s v="SSDTHIVD10T;01/01/2027"/>
    <s v="TEST VIH 1 + 2 [Determine], sér/pl/st, 1 test 7D2343(ALERE MEDICAL Co. Ltd, Japan)"/>
    <x v="55"/>
    <s v="01/01/2027"/>
    <d v="2027-01-01T00:00:00"/>
    <x v="2"/>
    <n v="13363.636363636364"/>
    <n v="218"/>
    <n v="53.653061224489797"/>
    <n v="53.653061224489797"/>
  </r>
  <r>
    <x v="0"/>
    <d v="2019-05-28T00:00:00"/>
    <d v="2026-05-28T00:00:00"/>
    <n v="717696"/>
    <s v="Each"/>
    <n v="1068"/>
    <s v="Box/Carton"/>
    <n v="0.61099999999999999"/>
    <n v="2.4609999999999999"/>
    <n v="23507"/>
    <s v="Health"/>
    <s v="DORAHRIF7T1;31/10/2021"/>
    <s v="DORAHRIF7T1;31/10/2028"/>
    <s v="H 75 mg / R 150 mg, comp., blister(LUPIN LTD, INDIA)"/>
    <x v="10"/>
    <s v="31/10/2028"/>
    <d v="2028-10-31T00:00:00"/>
    <x v="1"/>
    <n v="405643.63636363635"/>
    <n v="887"/>
    <n v="53.078313253012055"/>
    <n v="53.078313253012055"/>
  </r>
  <r>
    <x v="0"/>
    <d v="2019-05-28T00:00:00"/>
    <d v="2026-05-28T00:00:00"/>
    <n v="1563072"/>
    <s v="Each"/>
    <n v="2326"/>
    <s v="Box/Carton"/>
    <n v="1.331"/>
    <n v="5.3319999999999999"/>
    <n v="51195"/>
    <s v="Health"/>
    <s v="DORAHRIF7T1;30/09/2021"/>
    <s v="DORAHRIF7T1;30/09/2028"/>
    <s v="H 75 mg / R 150 mg, comp., blister(LUPIN LTD, INDIA)"/>
    <x v="10"/>
    <s v="30/09/2028"/>
    <d v="2028-09-30T00:00:00"/>
    <x v="1"/>
    <n v="405643.63636363635"/>
    <n v="856"/>
    <n v="115.59939759036145"/>
    <n v="115.59939759036145"/>
  </r>
  <r>
    <x v="0"/>
    <d v="2019-05-28T00:00:00"/>
    <d v="2026-05-28T00:00:00"/>
    <n v="1529472"/>
    <s v="Each"/>
    <n v="2276"/>
    <s v="Box/Carton"/>
    <n v="1.302"/>
    <n v="5.2089999999999996"/>
    <n v="50095"/>
    <s v="Health"/>
    <s v="DORAHRIF5TD1;31/10/2021"/>
    <s v="DORAHRIF5TD1;31/10/2028"/>
    <s v="H 75 mg / R 150 mg, comp., blister(LUPIN LTD, INDIA)"/>
    <x v="11"/>
    <s v="31/10/2028"/>
    <d v="2028-10-31T00:00:00"/>
    <x v="1"/>
    <n v="20312.727272727272"/>
    <n v="887"/>
    <n v="2258.8872180451131"/>
    <n v="887"/>
  </r>
  <r>
    <x v="0"/>
    <d v="2019-05-28T00:00:00"/>
    <d v="2026-05-28T00:00:00"/>
    <n v="305760"/>
    <s v="Each"/>
    <n v="455"/>
    <s v="Box/Carton"/>
    <n v="0.42"/>
    <n v="1.345"/>
    <n v="16821"/>
    <s v="Health"/>
    <s v="DORAEHRI1T1;09/09/2021"/>
    <s v="DORAEHRI1T1;09/09/2028"/>
    <s v="E 275 mg / H 75 mg / R 150 mg, comp., blister(LUPIN LTD, INDIA)"/>
    <x v="56"/>
    <s v="09/09/2028"/>
    <d v="2028-09-09T00:00:00"/>
    <x v="1"/>
    <n v="114722.909090909"/>
    <n v="835"/>
    <n v="79.956131453494336"/>
    <n v="79.956131453494336"/>
  </r>
  <r>
    <x v="0"/>
    <d v="2019-05-28T00:00:00"/>
    <d v="2026-05-28T00:00:00"/>
    <n v="165984"/>
    <s v="Each"/>
    <n v="247"/>
    <s v="Box/Carton"/>
    <n v="0.32900000000000001"/>
    <n v="1.113"/>
    <n v="11306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18.209777711583573"/>
    <n v="18.209777711583573"/>
  </r>
  <r>
    <x v="0"/>
    <d v="2019-05-28T00:00:00"/>
    <d v="2026-05-28T00:00:00"/>
    <n v="731808"/>
    <s v="Each"/>
    <n v="1089"/>
    <s v="Box/Carton"/>
    <n v="1.4339999999999999"/>
    <n v="4.8540000000000001"/>
    <n v="49343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80.285214283054714"/>
    <n v="80.285214283054714"/>
  </r>
  <r>
    <x v="0"/>
    <d v="2019-05-28T00:00:00"/>
    <d v="2026-05-28T00:00:00"/>
    <n v="785568"/>
    <s v="Each"/>
    <n v="1169"/>
    <s v="Box/Carton"/>
    <n v="1.5389999999999999"/>
    <n v="5.2149999999999999"/>
    <n v="52967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86.183117995308493"/>
    <n v="86.183117995308493"/>
  </r>
  <r>
    <x v="0"/>
    <d v="2019-05-28T00:00:00"/>
    <d v="2026-05-28T00:00:00"/>
    <n v="122976"/>
    <s v="Each"/>
    <n v="183"/>
    <s v="Box/Carton"/>
    <n v="0.24099999999999999"/>
    <n v="0.85099999999999998"/>
    <n v="8292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13.491454741780542"/>
    <n v="13.491454741780542"/>
  </r>
  <r>
    <x v="0"/>
    <d v="2019-05-28T00:00:00"/>
    <d v="2026-05-28T00:00:00"/>
    <n v="77340"/>
    <s v="Each"/>
    <n v="1289"/>
    <s v="Box/Carton"/>
    <n v="0.156"/>
    <n v="0.91"/>
    <n v="71540"/>
    <s v="Health"/>
    <s v="DORARALT4T-;31/01/2021"/>
    <s v="DORARALT4T-;31/01/2028"/>
    <s v="RALTEGRAVIR potassique [RAL], éq. 400 mg base, comp.(Zhejiang Huahai Pharmaceutical Co.Ltd, China):168C18008"/>
    <x v="19"/>
    <s v="31/01/2028"/>
    <d v="2028-01-31T00:00:00"/>
    <x v="0"/>
    <n v="0"/>
    <n v="613"/>
    <n v="0"/>
    <n v="0"/>
  </r>
  <r>
    <x v="0"/>
    <d v="2019-05-28T00:00:00"/>
    <d v="2026-05-28T00:00:00"/>
    <n v="678480"/>
    <s v="Each"/>
    <n v="22616"/>
    <s v="Bag/Sack"/>
    <n v="1.9219999999999999"/>
    <n v="7.7539999999999996"/>
    <n v="152658"/>
    <s v="Health"/>
    <s v="DORATEEF1T-;30/11/2020"/>
    <s v="DORATEEF1T-;30/11/2027"/>
    <s v="TDF 300 mg / FTC 200 mg / EFV 600 mg, comp.(Strides Pharma Science LTD, India)"/>
    <x v="58"/>
    <s v="30/11/2027"/>
    <d v="2027-11-30T00:00:00"/>
    <x v="2"/>
    <n v="683983.63636363635"/>
    <n v="551"/>
    <n v="29.758606665231227"/>
    <n v="29.758606665231227"/>
  </r>
  <r>
    <x v="0"/>
    <d v="2019-05-28T00:00:00"/>
    <d v="2026-05-28T00:00:00"/>
    <n v="26400"/>
    <s v="Each"/>
    <n v="264"/>
    <s v="Box/Carton"/>
    <n v="2.5999999999999999E-2"/>
    <n v="7.0000000000000001E-3"/>
    <n v="25935"/>
    <s v="Health"/>
    <s v="DORACLOF1C-;28/02/2023"/>
    <s v="DORACLOF1C-;28/02/2030"/>
    <s v="CLOFAZIMINE, 100 mg, caps. molle(Novartis Pharma, France):JC2600"/>
    <x v="59"/>
    <s v="28/02/2030"/>
    <d v="2030-02-28T00:00:00"/>
    <x v="1"/>
    <n v="4909.0909090909099"/>
    <n v="1372"/>
    <n v="161.33333333333329"/>
    <n v="161.33333333333329"/>
  </r>
  <r>
    <x v="0"/>
    <d v="2019-05-28T00:00:00"/>
    <d v="2026-05-28T00:00:00"/>
    <n v="93408"/>
    <s v="Each"/>
    <n v="139"/>
    <s v="Bag/Sack"/>
    <n v="7.3999999999999996E-2"/>
    <n v="2.1999999999999999E-2"/>
    <n v="1946"/>
    <s v="Health"/>
    <s v="DORAPYRZ4T1;31/05/2023"/>
    <s v="DORAPYRZ4T1;31/05/2030"/>
    <s v="PYRAZINAMIDE [Z], 400 mg, comp., blister(OXALIS LABS.BADDI, INDIA):NPB805A"/>
    <x v="9"/>
    <s v="31/05/2030"/>
    <d v="2030-05-31T00:00:00"/>
    <x v="1"/>
    <n v="18064"/>
    <n v="1464"/>
    <n v="155.12843224092114"/>
    <n v="155.12843224092114"/>
  </r>
  <r>
    <x v="0"/>
    <d v="2019-05-28T00:00:00"/>
    <d v="2026-05-28T00:00:00"/>
    <n v="86688"/>
    <s v="Each"/>
    <n v="129"/>
    <s v="Box/Carton"/>
    <n v="8.7999999999999995E-2"/>
    <n v="1.7000000000000001E-2"/>
    <n v="2580"/>
    <s v="Health"/>
    <s v="DORAETHA4T1;31/05/2023"/>
    <s v="DORAETHA4T1;31/05/2030"/>
    <s v="ETHAMBUTOL chlorhydrate [E], éq. 400 mg base, comp. blister(Svizera Labs Pvt Ltd, India):SL485"/>
    <x v="60"/>
    <s v="31/05/2030"/>
    <d v="2030-05-31T00:00:00"/>
    <x v="1"/>
    <n v="15070.545454545399"/>
    <n v="1464"/>
    <n v="172.56442428337095"/>
    <n v="172.56442428337095"/>
  </r>
  <r>
    <x v="0"/>
    <d v="2019-05-28T00:00:00"/>
    <d v="2026-05-28T00:00:00"/>
    <n v="155"/>
    <s v="Each"/>
    <n v="155"/>
    <s v="Box/Carton"/>
    <n v="5.6000000000000001E-2"/>
    <n v="1.2999999999999999E-2"/>
    <n v="8525"/>
    <s v="Health"/>
    <s v="SINSCONT5C-;30/11/2022"/>
    <s v="SINSCONT5C-;30/11/2029"/>
    <s v="CONTAINER, aiguilles/seringues, 5 l, carton pr incinération(HINDUSTAN SYRINGES &amp; MEDICAL DIVICES LTD,INDIA):10171"/>
    <x v="31"/>
    <s v="30/11/2029"/>
    <d v="2029-11-30T00:00:00"/>
    <x v="0"/>
    <n v="0"/>
    <n v="1282"/>
    <n v="0"/>
    <n v="0"/>
  </r>
  <r>
    <x v="0"/>
    <d v="2019-05-28T00:00:00"/>
    <d v="2026-05-28T00:00:00"/>
    <n v="25500"/>
    <s v="Each"/>
    <n v="255"/>
    <s v="Box/Carton"/>
    <n v="3.6999999999999998E-2"/>
    <n v="0.123"/>
    <n v="6758"/>
    <s v="Health"/>
    <s v="DORAMOXI4T-;30/04/2023"/>
    <s v="DORAMOXI4T-;30/04/2030"/>
    <s v="MOXIFLOXACINE chlorhydrate, éq 400 mg base, comp.(MSN LABS,Pvt, Ltd, India):BT1805102B"/>
    <x v="61"/>
    <s v="30/04/2030"/>
    <d v="2030-04-30T00:00:00"/>
    <x v="1"/>
    <n v="5990.9090909090901"/>
    <n v="1433"/>
    <n v="127.69347496206375"/>
    <n v="127.69347496206375"/>
  </r>
  <r>
    <x v="0"/>
    <d v="2019-05-28T00:00:00"/>
    <d v="2026-05-28T00:00:00"/>
    <n v="4200"/>
    <s v="Each"/>
    <n v="42"/>
    <s v="Box/Carton"/>
    <n v="4.2000000000000003E-2"/>
    <n v="2E-3"/>
    <n v="187"/>
    <s v="Health"/>
    <s v="SINSSYDL05-;31/03/2023"/>
    <s v="SINSSYDL05-;31/03/2030"/>
    <s v="SERINGUE, u.u., Luer, 5 ml(Hindustan syringes &amp; medical service , India):1483J41"/>
    <x v="47"/>
    <s v="31/03/2030"/>
    <d v="2030-03-31T00:00:00"/>
    <x v="0"/>
    <n v="0"/>
    <n v="1403"/>
    <n v="0"/>
    <n v="0"/>
  </r>
  <r>
    <x v="0"/>
    <d v="2019-05-28T00:00:00"/>
    <d v="2026-05-28T00:00:00"/>
    <n v="38000"/>
    <s v="Each"/>
    <n v="380"/>
    <s v="Box/Carton"/>
    <n v="3.4000000000000002E-2"/>
    <n v="8.9999999999999993E-3"/>
    <n v="3116"/>
    <s v="Health"/>
    <s v="DORAPRON2T1;31/05/2021"/>
    <s v="DORAPRON2T1;31/05/2028"/>
    <s v="PROTHIONAMIDE, 250 mg, comp., blister(Micro Labs Hosur, India):PTOHH0076"/>
    <x v="62"/>
    <s v="31/05/2028"/>
    <d v="2028-05-31T00:00:00"/>
    <x v="1"/>
    <n v="12290.909090908999"/>
    <n v="734"/>
    <n v="92.751479289941514"/>
    <n v="92.751479289941514"/>
  </r>
  <r>
    <x v="0"/>
    <d v="2019-05-28T00:00:00"/>
    <d v="2026-05-28T00:00:00"/>
    <n v="1300"/>
    <s v="Each"/>
    <n v="130"/>
    <s v="Box/Carton"/>
    <n v="1.0999999999999999E-2"/>
    <n v="0.04"/>
    <n v="903"/>
    <s v="Health"/>
    <s v="DINJAMIK5A-;31/03/2022"/>
    <s v="DINJAMIK5A-;31/03/2029"/>
    <s v="AMIKACINE sulfate, éq. 500mg/ml base, 2 ml, amp.(Medochemie Ltd,Cyprus):A301AH"/>
    <x v="63"/>
    <s v="31/03/2029"/>
    <d v="2029-03-31T00:00:00"/>
    <x v="1"/>
    <n v="4200"/>
    <n v="1038"/>
    <n v="9.2857142857142865"/>
    <n v="9.2857142857142865"/>
  </r>
  <r>
    <x v="0"/>
    <d v="2019-05-28T00:00:00"/>
    <d v="2026-05-28T00:00:00"/>
    <n v="15500"/>
    <s v="Each"/>
    <n v="1550"/>
    <s v="Box/Carton"/>
    <n v="0.13200000000000001"/>
    <n v="0.47099999999999997"/>
    <n v="10773"/>
    <s v="Health"/>
    <s v="DINJAMIK5A-;31/03/2022"/>
    <s v="DINJAMIK5A-;31/03/2029"/>
    <s v="AMIKACINE sulfate, éq. 500mg/ml base, 2 ml, amp.(Medochemie Ltd,Cyprus):A516AH"/>
    <x v="63"/>
    <s v="31/03/2029"/>
    <d v="2029-03-31T00:00:00"/>
    <x v="1"/>
    <n v="4200"/>
    <n v="1038"/>
    <n v="110.71428571428572"/>
    <n v="110.71428571428572"/>
  </r>
  <r>
    <x v="0"/>
    <d v="2019-05-28T00:00:00"/>
    <d v="2026-05-28T00:00:00"/>
    <n v="446880"/>
    <s v="Each"/>
    <n v="7448"/>
    <s v="Box/Carton"/>
    <n v="0.56899999999999995"/>
    <n v="2.0699999999999998"/>
    <n v="37166"/>
    <s v="Health"/>
    <s v="DORAYILA2T-;30/11/2022"/>
    <s v="DORAYILA2T-;30/11/2029"/>
    <s v="AZT 300 mg / 3TC 150 mg, comp.(MYLAN LAB LTD,INDIA):3092381"/>
    <x v="50"/>
    <s v="30/11/2029"/>
    <d v="2029-11-30T00:00:00"/>
    <x v="2"/>
    <n v="704712.72727272694"/>
    <n v="1282"/>
    <n v="19.023922062374876"/>
    <n v="19.023922062374876"/>
  </r>
  <r>
    <x v="0"/>
    <d v="2019-05-28T00:00:00"/>
    <d v="2026-05-28T00:00:00"/>
    <n v="1168080"/>
    <s v="Each"/>
    <n v="19468"/>
    <s v="Box/Carton"/>
    <n v="1.4870000000000001"/>
    <n v="5.41"/>
    <n v="97145"/>
    <s v="Health"/>
    <s v="DORAYILA2T-;30/10/2023"/>
    <s v="DORAYILA2T-;30/10/2030"/>
    <s v="AZT 300 mg / 3TC 150 mg, comp.(MYLAN LAB LTD,INDIA):3091780"/>
    <x v="50"/>
    <s v="30/10/2030"/>
    <d v="2030-10-30T00:00:00"/>
    <x v="2"/>
    <n v="704712.72727272694"/>
    <n v="1616"/>
    <n v="49.725794134037876"/>
    <n v="49.725794134037876"/>
  </r>
  <r>
    <x v="0"/>
    <d v="2019-05-28T00:00:00"/>
    <d v="2026-05-28T00:00:00"/>
    <n v="1179360"/>
    <s v="Each"/>
    <n v="19656"/>
    <s v="Box/Carton"/>
    <n v="1.502"/>
    <n v="5.46"/>
    <n v="98083"/>
    <s v="Health"/>
    <s v="DORAYILA2T-;30/10/2023"/>
    <s v="DORAYILA2T-;30/10/2030"/>
    <s v="AZT 300 mg / 3TC 150 mg, comp.(MYLAN LAB LTD,INDIA):3091781"/>
    <x v="50"/>
    <s v="30/10/2030"/>
    <d v="2030-10-30T00:00:00"/>
    <x v="2"/>
    <n v="704712.72727272694"/>
    <n v="1616"/>
    <n v="50.205989803711141"/>
    <n v="50.205989803711141"/>
  </r>
  <r>
    <x v="0"/>
    <d v="2019-05-28T00:00:00"/>
    <d v="2026-05-28T00:00:00"/>
    <n v="859200"/>
    <s v="Each"/>
    <n v="14320"/>
    <s v="Box/Carton"/>
    <n v="1.0940000000000001"/>
    <n v="3.98"/>
    <n v="71457"/>
    <s v="Health"/>
    <s v="DORAYILA2T-;30/10/2023"/>
    <s v="DORAYILA2T-;30/10/2030"/>
    <s v="AZT 300 mg / 3TC 150 mg, comp.(MYLAN LAB LTD,INDIA):8084242"/>
    <x v="50"/>
    <s v="30/10/2030"/>
    <d v="2030-10-30T00:00:00"/>
    <x v="2"/>
    <n v="704712.72727272694"/>
    <n v="1616"/>
    <n v="36.57660632830401"/>
    <n v="36.57660632830401"/>
  </r>
  <r>
    <x v="0"/>
    <d v="2019-05-28T00:00:00"/>
    <d v="2026-05-28T00:00:00"/>
    <n v="1800"/>
    <s v="Each"/>
    <n v="60"/>
    <s v="Box/Carton"/>
    <n v="4.0000000000000001E-3"/>
    <n v="1.2E-2"/>
    <n v="180"/>
    <s v="Health"/>
    <s v="DORAEFAV6T-;28/02/2021"/>
    <s v="DORAEFAV6T-;28/02/2028"/>
    <s v="EFAVIRENZ [EFV], 600 mg, comp.(CIPLA Ltd, INDIA):GG80682"/>
    <x v="49"/>
    <s v="28/02/2028"/>
    <d v="2028-02-28T00:00:00"/>
    <x v="2"/>
    <n v="875183.636363636"/>
    <n v="641"/>
    <n v="6.1701336446792494E-2"/>
    <n v="6.1701336446792494E-2"/>
  </r>
  <r>
    <x v="0"/>
    <d v="2019-05-28T00:00:00"/>
    <d v="2026-05-28T00:00:00"/>
    <n v="14460"/>
    <s v="Each"/>
    <n v="241"/>
    <s v="Box/Carton"/>
    <n v="2.8000000000000001E-2"/>
    <n v="0.13100000000000001"/>
    <n v="13376"/>
    <s v="Health"/>
    <s v="DORARALT4T-;31/12/2020"/>
    <s v="DORARALT4T-;31/12/2027"/>
    <s v="RALTEGRAVIR potassique [RAL], éq. 400 mg base, comp.(Zhejiang Huahai Pharmaceutical Co.Ltd, China):168C18006"/>
    <x v="19"/>
    <s v="31/12/2027"/>
    <d v="2027-12-31T00:00:00"/>
    <x v="0"/>
    <n v="0"/>
    <n v="582"/>
    <n v="0"/>
    <n v="0"/>
  </r>
  <r>
    <x v="0"/>
    <d v="2019-05-28T00:00:00"/>
    <d v="2026-05-28T00:00:00"/>
    <n v="1980"/>
    <s v="Each"/>
    <n v="33"/>
    <s v="Box/Carton"/>
    <n v="4.0000000000000001E-3"/>
    <n v="1.7999999999999999E-2"/>
    <n v="1832"/>
    <s v="Health"/>
    <s v="DORARALT4T-;31/01/2021"/>
    <s v="DORARALT4T-;31/01/2028"/>
    <s v="RALTEGRAVIR potassique [RAL], éq. 400 mg base, comp.(Zhejiang Huahai Pharmaceutical Co.Ltd, China):168C18007"/>
    <x v="19"/>
    <s v="31/01/2028"/>
    <d v="2028-01-31T00:00:00"/>
    <x v="0"/>
    <n v="0"/>
    <n v="613"/>
    <n v="0"/>
    <n v="0"/>
  </r>
  <r>
    <x v="0"/>
    <d v="2019-05-28T00:00:00"/>
    <d v="2026-05-28T00:00:00"/>
    <n v="137160"/>
    <s v="Each"/>
    <n v="2286"/>
    <s v="Box/Carton"/>
    <n v="0.27"/>
    <n v="1.2410000000000001"/>
    <n v="126873"/>
    <s v="Health"/>
    <s v="DORARALT4T-;28/02/2021"/>
    <s v="DORARALT4T-;28/02/2028"/>
    <s v="RALTEGRAVIR potassique [RAL], éq. 400 mg base, comp.(Zhejiang Huahai Pharmaceutical Co.Ltd, China):168C18009"/>
    <x v="19"/>
    <s v="28/02/2028"/>
    <d v="2028-02-28T00:00:00"/>
    <x v="0"/>
    <n v="0"/>
    <n v="641"/>
    <n v="0"/>
    <n v="0"/>
  </r>
  <r>
    <x v="0"/>
    <d v="2019-05-28T00:00:00"/>
    <d v="2026-05-28T00:00:00"/>
    <n v="10276"/>
    <s v="Each"/>
    <n v="734"/>
    <s v="Box/Carton"/>
    <n v="1.028"/>
    <n v="0.28799999999999998"/>
    <n v="389"/>
    <s v="Health"/>
    <s v=";31/05/2020"/>
    <s v=";31/05/2027"/>
    <s v="NYSTATINE, 100.000 UI, vaginal comp.(Macléods Pharmaceuticals Ltd, India)"/>
    <x v="4"/>
    <s v="31/05/2027"/>
    <d v="2027-05-31T00:00:00"/>
    <x v="0"/>
    <n v="0"/>
    <n v="368"/>
    <n v="0"/>
    <n v="0"/>
  </r>
  <r>
    <x v="0"/>
    <d v="2019-05-28T00:00:00"/>
    <d v="2026-05-28T00:00:00"/>
    <n v="111"/>
    <s v="Each"/>
    <n v="111"/>
    <s v="None/Loose"/>
    <n v="1.2E-2"/>
    <n v="0.03"/>
    <n v="56"/>
    <s v="Health"/>
    <s v="DORANYST1S-;30/11/2020"/>
    <s v="DORANYST1S-;30/11/2027"/>
    <s v="Nystatin,100,000 IU/ml, susp oral.(Universal Corporation Ltd, Netherland)"/>
    <x v="64"/>
    <s v="30/11/2027"/>
    <d v="2027-11-30T00:00:00"/>
    <x v="0"/>
    <n v="0"/>
    <n v="551"/>
    <n v="0"/>
    <n v="0"/>
  </r>
  <r>
    <x v="0"/>
    <d v="2019-05-28T00:00:00"/>
    <d v="2026-05-28T00:00:00"/>
    <n v="627800"/>
    <s v="Each"/>
    <n v="10463"/>
    <s v="Box/Carton"/>
    <n v="0.52300000000000002"/>
    <n v="2.8250000000000002"/>
    <n v="36622"/>
    <s v="Health"/>
    <s v="DORAABLA1TD;31/08/2019"/>
    <s v="DORAABLA1TD;31/08/2026"/>
    <s v="ABC 60 mg / 3TC 30 mg, comp. disp.(MYLAN LAB LTD,INDIA)"/>
    <x v="65"/>
    <s v="31/08/2026"/>
    <d v="2026-08-31T00:00:00"/>
    <x v="2"/>
    <n v="188356.36363636301"/>
    <n v="95"/>
    <n v="99.991312405884727"/>
    <n v="95"/>
  </r>
  <r>
    <x v="0"/>
    <d v="2019-05-28T00:00:00"/>
    <d v="2026-05-28T00:00:00"/>
    <n v="393600"/>
    <s v="Each"/>
    <n v="6560"/>
    <s v="Box/Carton"/>
    <n v="0.32800000000000001"/>
    <n v="1.7709999999999999"/>
    <n v="22960"/>
    <s v="Health"/>
    <s v="DORAABLA1TD;31/08/2019"/>
    <s v="DORAABLA1TD;31/08/2026"/>
    <s v="ABC 60 mg / 3TC 30 mg, comp. disp.(MYLAN LAB LTD,INDIA)"/>
    <x v="65"/>
    <s v="31/08/2026"/>
    <d v="2026-08-31T00:00:00"/>
    <x v="2"/>
    <n v="188356.36363636301"/>
    <n v="95"/>
    <n v="62.689679138190876"/>
    <n v="62.689679138190876"/>
  </r>
  <r>
    <x v="0"/>
    <d v="2019-05-28T00:00:00"/>
    <d v="2026-05-28T00:00:00"/>
    <n v="407880"/>
    <s v="Each"/>
    <n v="6798"/>
    <s v="Box/Carton"/>
    <n v="0.38700000000000001"/>
    <n v="1.264"/>
    <n v="22094"/>
    <s v="Health"/>
    <s v="DORAYILN1TD;31/08/2022"/>
    <s v="DORAYILN1TD;31/08/2029"/>
    <s v="AZT 60 mg / 3TC 30 mg / NVP 50 mg, comp. dispersible(MYLAN LAB LTD,INDIA)"/>
    <x v="66"/>
    <s v="31/08/2029"/>
    <d v="2029-08-31T00:00:00"/>
    <x v="2"/>
    <n v="107056.36363636363"/>
    <n v="1191"/>
    <n v="114.29867019921537"/>
    <n v="114.29867019921537"/>
  </r>
  <r>
    <x v="0"/>
    <d v="2019-05-28T00:00:00"/>
    <d v="2026-05-28T00:00:00"/>
    <n v="450"/>
    <s v="Each"/>
    <n v="450"/>
    <s v="None/Loose"/>
    <n v="1.4E-2"/>
    <n v="0.19700000000000001"/>
    <n v="76"/>
    <s v="Health"/>
    <s v="DINJPENB2VS;31/03/2020"/>
    <s v="DINJPENB2VS;31/03/2027"/>
    <s v="BENZATHINE BENZYLPENICILLINE, 2,4 M UI, poudre, fl.+solvant(CSPC Zhongnu Pharma Co. Ltd,China)"/>
    <x v="67"/>
    <s v="31/03/2027"/>
    <d v="2027-03-31T00:00:00"/>
    <x v="0"/>
    <n v="0"/>
    <n v="307"/>
    <n v="0"/>
    <n v="0"/>
  </r>
  <r>
    <x v="0"/>
    <d v="2019-05-28T00:00:00"/>
    <d v="2026-05-28T00:00:00"/>
    <n v="40"/>
    <s v="Each"/>
    <n v="40"/>
    <s v="None/Loose"/>
    <n v="0.55000000000000004"/>
    <n v="0.93200000000000005"/>
    <n v="2200"/>
    <s v="Health"/>
    <s v="ELAECENEH3-;N/A"/>
    <s v="ELAECENEH3-;"/>
    <s v="CENTRIFUGEUSE à hématocrite électr.(Centurion Scientific Ltd, U.K)"/>
    <x v="68"/>
    <s v=""/>
    <s v=""/>
    <x v="0"/>
    <n v="0"/>
    <n v="0"/>
    <n v="0"/>
    <n v="0"/>
  </r>
  <r>
    <x v="0"/>
    <d v="2019-05-28T00:00:00"/>
    <d v="2026-05-28T00:00:00"/>
    <n v="18800"/>
    <s v="Each"/>
    <n v="188"/>
    <s v="Box/Carton"/>
    <n v="2.3E-2"/>
    <n v="9.4E-2"/>
    <n v="414"/>
    <s v="Health"/>
    <s v="DORACIPR5T-;30/04/2021"/>
    <s v="DORACIPR5T-;30/04/2028"/>
    <s v="CIPROFLOXACINE chlorhydrate, éq. 500 mg base, comp.(Medopharma,India)"/>
    <x v="69"/>
    <s v="30/04/2028"/>
    <d v="2028-04-30T00:00:00"/>
    <x v="0"/>
    <n v="0"/>
    <n v="703"/>
    <n v="0"/>
    <n v="0"/>
  </r>
  <r>
    <x v="0"/>
    <d v="2019-05-28T00:00:00"/>
    <d v="2026-05-28T00:00:00"/>
    <n v="45000"/>
    <s v="Each"/>
    <n v="45"/>
    <s v="Box/Carton"/>
    <n v="2.1000000000000001E-2"/>
    <n v="6.5000000000000002E-2"/>
    <n v="1247"/>
    <s v="Health"/>
    <s v="DORACLOX5C-;30/04/2020"/>
    <s v="DORACLOX5C-;30/04/2027"/>
    <s v="CLOXACILLINE sodique, éq. 500 mg base, gél.(Medopharma,India)"/>
    <x v="70"/>
    <s v="30/04/2027"/>
    <d v="2027-04-30T00:00:00"/>
    <x v="0"/>
    <n v="0"/>
    <n v="337"/>
    <n v="0"/>
    <n v="0"/>
  </r>
  <r>
    <x v="0"/>
    <d v="2019-05-28T00:00:00"/>
    <d v="2026-05-28T00:00:00"/>
    <n v="201500"/>
    <s v="Each"/>
    <n v="403"/>
    <s v="Box/Carton"/>
    <n v="0.28199999999999997"/>
    <n v="1.8939999999999999"/>
    <n v="3325"/>
    <s v="Health"/>
    <s v="DORACOTR8T-;31/08/2021"/>
    <s v="DORACOTR8T-;31/08/2028"/>
    <s v="COTRIMOXAZOLE, 800 mg / 160 mg, comp.(Medopharma,India)"/>
    <x v="71"/>
    <s v="31/08/2028"/>
    <d v="2028-08-31T00:00:00"/>
    <x v="2"/>
    <n v="287000"/>
    <n v="826"/>
    <n v="21.062717770034844"/>
    <n v="21.062717770034844"/>
  </r>
  <r>
    <x v="0"/>
    <d v="2019-05-28T00:00:00"/>
    <d v="2026-05-28T00:00:00"/>
    <n v="2000"/>
    <s v="Each"/>
    <n v="4"/>
    <s v="Box/Carton"/>
    <n v="3.0000000000000001E-3"/>
    <n v="1.9E-2"/>
    <n v="33"/>
    <s v="Health"/>
    <s v="DORACOTR8T-;31/08/2021"/>
    <s v="DORACOTR8T-;31/08/2028"/>
    <s v="COTRIMOXAZOLE, 800 mg / 160 mg, comp.(Medopharma,India)"/>
    <x v="71"/>
    <s v="31/08/2028"/>
    <d v="2028-08-31T00:00:00"/>
    <x v="2"/>
    <n v="287000"/>
    <n v="826"/>
    <n v="0.20905923344947736"/>
    <n v="0.20905923344947736"/>
  </r>
  <r>
    <x v="0"/>
    <d v="2019-05-28T00:00:00"/>
    <d v="2026-05-28T00:00:00"/>
    <n v="4980"/>
    <s v="Each"/>
    <n v="9"/>
    <s v="Box/Carton"/>
    <n v="1E-3"/>
    <n v="7.0000000000000001E-3"/>
    <n v="57"/>
    <s v="Health"/>
    <s v="DORADOXY1T-;30/10/2019"/>
    <s v="DORADOXY1T-;30/10/2026"/>
    <s v="DOXYCYCLINE sel, éq. 100 mg base, comp.(Medopharma,India)"/>
    <x v="72"/>
    <s v="30/10/2026"/>
    <d v="2026-10-30T00:00:00"/>
    <x v="0"/>
    <n v="0"/>
    <n v="155"/>
    <n v="0"/>
    <n v="0"/>
  </r>
  <r>
    <x v="0"/>
    <d v="2019-05-28T00:00:00"/>
    <d v="2026-05-28T00:00:00"/>
    <n v="45"/>
    <s v="Each"/>
    <n v="45"/>
    <s v="None/Loose"/>
    <n v="5.3999999999999999E-2"/>
    <n v="0.113"/>
    <n v="175"/>
    <s v="Health"/>
    <s v="SLASETHA9B1;30/04/2021"/>
    <s v="SLASETHA9B1;30/04/2028"/>
    <s v="ETHANOL, dénaturé, 95%, 1 l, fl.(Denteck , Netherlands)"/>
    <x v="73"/>
    <s v="30/04/2028"/>
    <d v="2028-04-30T00:00:00"/>
    <x v="0"/>
    <n v="0"/>
    <n v="703"/>
    <n v="0"/>
    <n v="0"/>
  </r>
  <r>
    <x v="0"/>
    <d v="2019-05-28T00:00:00"/>
    <d v="2026-05-28T00:00:00"/>
    <n v="34"/>
    <s v="Each"/>
    <n v="34"/>
    <s v="None/Loose"/>
    <n v="0.17299999999999999"/>
    <n v="0.17299999999999999"/>
    <n v="909"/>
    <s v="Health"/>
    <s v=";31/05/2019"/>
    <s v=";31/05/2026"/>
    <s v="WASH REAGENT COBAS 5L(Roche Molecular Système Inc,USA)"/>
    <x v="4"/>
    <s v="31/05/2026"/>
    <d v="2026-05-31T00:00:00"/>
    <x v="0"/>
    <n v="0"/>
    <n v="3"/>
    <n v="0"/>
    <n v="0"/>
  </r>
  <r>
    <x v="0"/>
    <d v="2019-05-28T00:00:00"/>
    <d v="2026-05-28T00:00:00"/>
    <n v="900"/>
    <s v="Each"/>
    <n v="30"/>
    <s v="Box/Carton"/>
    <n v="4.0000000000000001E-3"/>
    <n v="3.0000000000000001E-3"/>
    <n v="207"/>
    <s v="Health"/>
    <s v="DORAPYRM2T-;31/01/2020"/>
    <s v="DORAPYRM2T-;31/01/2027"/>
    <s v="PYRIMETHAMINE, 25 mg, comp.(Mylan Lab Limited,India)"/>
    <x v="74"/>
    <s v="31/01/2027"/>
    <d v="2027-01-31T00:00:00"/>
    <x v="0"/>
    <n v="0"/>
    <n v="248"/>
    <n v="0"/>
    <n v="0"/>
  </r>
  <r>
    <x v="0"/>
    <d v="2019-05-28T00:00:00"/>
    <d v="2026-05-28T00:00:00"/>
    <n v="7950"/>
    <s v="Each"/>
    <n v="265"/>
    <s v="Box/Carton"/>
    <n v="3.2000000000000001E-2"/>
    <n v="2.4E-2"/>
    <n v="1831"/>
    <s v="Health"/>
    <s v="DORAPYRM2T-;31/08/2019"/>
    <s v="DORAPYRM2T-;31/08/2026"/>
    <s v="PYRIMETHAMINE, 25 mg, comp.(Mylan Lab Limited,India)"/>
    <x v="74"/>
    <s v="31/08/2026"/>
    <d v="2026-08-31T00:00:00"/>
    <x v="0"/>
    <n v="0"/>
    <n v="95"/>
    <n v="0"/>
    <n v="0"/>
  </r>
  <r>
    <x v="0"/>
    <d v="2019-05-28T00:00:00"/>
    <d v="2026-05-28T00:00:00"/>
    <n v="1650"/>
    <s v="Each"/>
    <n v="55"/>
    <s v="Box/Carton"/>
    <n v="7.0000000000000001E-3"/>
    <n v="5.0000000000000001E-3"/>
    <n v="380"/>
    <s v="Health"/>
    <s v="DORAPYRM2T-;31/08/2019"/>
    <s v="DORAPYRM2T-;31/08/2026"/>
    <s v="PYRIMETHAMINE, 25 mg, comp.(Mylan Lab Limited,India)"/>
    <x v="74"/>
    <s v="31/08/2026"/>
    <d v="2026-08-31T00:00:00"/>
    <x v="0"/>
    <n v="0"/>
    <n v="95"/>
    <n v="0"/>
    <n v="0"/>
  </r>
  <r>
    <x v="0"/>
    <d v="2019-05-28T00:00:00"/>
    <d v="2026-05-28T00:00:00"/>
    <n v="2340"/>
    <s v="Each"/>
    <n v="78"/>
    <s v="Box/Carton"/>
    <n v="8.9999999999999993E-3"/>
    <n v="7.0000000000000001E-3"/>
    <n v="539"/>
    <s v="Health"/>
    <s v="DORAPYRM2T-;31/08/2019"/>
    <s v="DORAPYRM2T-;31/08/2026"/>
    <s v="PYRIMETHAMINE, 25 mg, comp.(GloxoSmithKline UK)"/>
    <x v="74"/>
    <s v="31/08/2026"/>
    <d v="2026-08-31T00:00:00"/>
    <x v="0"/>
    <n v="0"/>
    <n v="95"/>
    <n v="0"/>
    <n v="0"/>
  </r>
  <r>
    <x v="0"/>
    <d v="2019-05-28T00:00:00"/>
    <d v="2026-05-28T00:00:00"/>
    <n v="4890"/>
    <s v="Each"/>
    <n v="489"/>
    <s v="Box/Carton"/>
    <n v="0.127"/>
    <n v="0.223"/>
    <n v="807"/>
    <s v="Health"/>
    <s v="DINJCEFT1V-;31/07/2020"/>
    <s v="DINJCEFT1V-;31/07/2027"/>
    <s v="CEFTRIAXONE sodique, éq. 1 g base, poudre, fl.(Reyoung Pharma Co., Ltd., China)"/>
    <x v="75"/>
    <s v="31/07/2027"/>
    <d v="2027-07-31T00:00:00"/>
    <x v="0"/>
    <n v="0"/>
    <n v="429"/>
    <n v="0"/>
    <n v="0"/>
  </r>
  <r>
    <x v="0"/>
    <d v="2019-05-28T00:00:00"/>
    <d v="2026-05-28T00:00:00"/>
    <n v="30"/>
    <s v="Each"/>
    <n v="0"/>
    <s v="Box/Carton"/>
    <n v="0"/>
    <n v="0"/>
    <n v="1"/>
    <s v="Health"/>
    <s v="DORANEVI5TD;30/10/2019"/>
    <s v="DORANEVI5TD;30/10/2026"/>
    <s v="NEVIRAPINE [NVP], 50 mg, comp. disp.(CIPLA Ltd, INDIA)"/>
    <x v="76"/>
    <s v="30/10/2026"/>
    <d v="2026-10-30T00:00:00"/>
    <x v="2"/>
    <n v="6643.636363636364"/>
    <n v="155"/>
    <n v="0.1354679802955665"/>
    <n v="0.1354679802955665"/>
  </r>
  <r>
    <x v="0"/>
    <d v="2019-05-28T00:00:00"/>
    <d v="2026-05-28T00:00:00"/>
    <n v="4103"/>
    <s v="Each"/>
    <n v="4103"/>
    <s v="Kit/Set"/>
    <n v="0.626"/>
    <n v="1.2999999999999999E-2"/>
    <n v="5129"/>
    <s v="Health"/>
    <s v="DORANEVI1S1;31/08/2020"/>
    <s v="DORANEVI1S1;31/08/2027"/>
    <s v="NEVIRAPINE [NVP], 50mg/5ml, susp. orale, 100 ml, fl.(CIPLA LTD,INDIA)"/>
    <x v="77"/>
    <s v="31/08/2027"/>
    <d v="2027-08-31T00:00:00"/>
    <x v="0"/>
    <n v="0"/>
    <n v="460"/>
    <n v="0"/>
    <n v="0"/>
  </r>
  <r>
    <x v="0"/>
    <d v="2019-05-28T00:00:00"/>
    <d v="2026-05-28T00:00:00"/>
    <n v="1057"/>
    <s v="Each"/>
    <n v="1057"/>
    <s v="Kit/Set"/>
    <n v="0.127"/>
    <n v="0.38"/>
    <n v="1628"/>
    <s v="Health"/>
    <s v="DORAAMOC2S6;31/01/2020"/>
    <s v="DORAAMOC2S6;31/01/2027"/>
    <s v="AMOXICILLINE 250 mg / ac. CLAVULANIQUE 62.5mg/5ml pwd f 100.fl(Micro Labs Ltd. VeerasandraIndia)"/>
    <x v="78"/>
    <s v="31/01/2027"/>
    <d v="2027-01-31T00:00:00"/>
    <x v="0"/>
    <n v="0"/>
    <n v="248"/>
    <n v="0"/>
    <n v="0"/>
  </r>
  <r>
    <x v="0"/>
    <d v="2019-05-28T00:00:00"/>
    <d v="2026-05-28T00:00:00"/>
    <n v="84370"/>
    <s v="Each"/>
    <n v="8437"/>
    <s v="Kit/Set"/>
    <n v="3.4000000000000002E-2"/>
    <n v="0.10100000000000001"/>
    <n v="541"/>
    <s v="Health"/>
    <s v="DORACOTR1TD;30/11/2019"/>
    <s v="DORACOTR1TD;30/11/2026"/>
    <s v="COTRIMOXAZOLE, 100 mg / 20 mg, comp. disp.(Micro Labs Hosur,India)"/>
    <x v="79"/>
    <s v="30/11/2026"/>
    <d v="2026-11-30T00:00:00"/>
    <x v="2"/>
    <n v="49727.272727272699"/>
    <n v="186"/>
    <n v="50.89963436928705"/>
    <n v="50.89963436928705"/>
  </r>
  <r>
    <x v="0"/>
    <d v="2019-05-28T00:00:00"/>
    <d v="2026-05-28T00:00:00"/>
    <n v="294000"/>
    <s v="Each"/>
    <n v="29400"/>
    <s v="Kit/Set"/>
    <n v="0.11799999999999999"/>
    <n v="0.35299999999999998"/>
    <n v="1885"/>
    <s v="Health"/>
    <s v="DORACOTR1TD;30/04/2020"/>
    <s v="DORACOTR1TD;30/04/2027"/>
    <s v="COTRIMOXAZOLE, 100 mg / 20 mg, comp. disp.(Micro Labs Hosur,India)"/>
    <x v="79"/>
    <s v="30/04/2027"/>
    <d v="2027-04-30T00:00:00"/>
    <x v="2"/>
    <n v="49727.272727272699"/>
    <n v="337"/>
    <n v="177.36745886654489"/>
    <n v="177.36745886654489"/>
  </r>
  <r>
    <x v="0"/>
    <d v="2019-05-28T00:00:00"/>
    <d v="2026-05-28T00:00:00"/>
    <n v="4100"/>
    <s v="Each"/>
    <n v="41"/>
    <s v="Bag/Sack"/>
    <n v="9.8000000000000004E-2"/>
    <n v="0.26900000000000002"/>
    <n v="183"/>
    <s v="Health"/>
    <s v="DORAORSA2S-;28/02/2022"/>
    <s v="DORAORSA2S-;28/02/2029"/>
    <s v="SELS REHYDRATATION ORALE [SRO]basse osmol. sachet 20,5 g/1l(N.V Pharma,India)"/>
    <x v="80"/>
    <s v="28/02/2029"/>
    <d v="2029-02-28T00:00:00"/>
    <x v="0"/>
    <n v="0"/>
    <n v="1007"/>
    <n v="0"/>
    <n v="0"/>
  </r>
  <r>
    <x v="0"/>
    <d v="2019-05-28T00:00:00"/>
    <d v="2026-05-28T00:00:00"/>
    <n v="2400"/>
    <s v="Each"/>
    <n v="24"/>
    <s v="Bag/Sack"/>
    <n v="5.8000000000000003E-2"/>
    <n v="0.157"/>
    <n v="107"/>
    <s v="Health"/>
    <s v="DORAORSA2S-;31/03/2022"/>
    <s v="DORAORSA2S-;31/03/2029"/>
    <s v="SELS REHYDRATATION ORALE [SRO]basse osmol. sachet 20,5 g/1l(N.V Pharma,India)"/>
    <x v="80"/>
    <s v="31/03/2029"/>
    <d v="2029-03-31T00:00:00"/>
    <x v="0"/>
    <n v="0"/>
    <n v="1038"/>
    <n v="0"/>
    <n v="0"/>
  </r>
  <r>
    <x v="0"/>
    <d v="2019-05-28T00:00:00"/>
    <d v="2026-05-28T00:00:00"/>
    <n v="92000"/>
    <s v="Each"/>
    <n v="92"/>
    <s v="Box/Carton"/>
    <n v="0.01"/>
    <n v="0.03"/>
    <n v="284"/>
    <s v="Health"/>
    <s v="DORALOPE2T-;30/04/2021"/>
    <s v="DORALOPE2T-;30/04/2028"/>
    <s v="LOPERAMIDE chlorhydrate, 2mg, comp.(Medopharm Malur, India)"/>
    <x v="81"/>
    <s v="30/04/2028"/>
    <d v="2028-04-30T00:00:00"/>
    <x v="0"/>
    <n v="0"/>
    <n v="703"/>
    <n v="0"/>
    <n v="0"/>
  </r>
  <r>
    <x v="0"/>
    <d v="2019-05-28T00:00:00"/>
    <d v="2026-05-28T00:00:00"/>
    <n v="37400"/>
    <s v="Each"/>
    <n v="374"/>
    <s v="Box/Carton"/>
    <n v="5.6000000000000001E-2"/>
    <n v="0.17699999999999999"/>
    <n v="2203"/>
    <s v="Health"/>
    <s v="DORAERYT5T-;31/03/2021"/>
    <s v="DORAERYT5T-;31/03/2028"/>
    <s v="ERYTHROMYCINE stéarate, eq. 500 mg base, comp.(Medopharma Malur,India)"/>
    <x v="82"/>
    <s v="31/03/2028"/>
    <d v="2028-03-31T00:00:00"/>
    <x v="0"/>
    <n v="0"/>
    <n v="673"/>
    <n v="0"/>
    <n v="0"/>
  </r>
  <r>
    <x v="0"/>
    <d v="2019-05-28T00:00:00"/>
    <d v="2026-05-28T00:00:00"/>
    <n v="1800"/>
    <s v="Each"/>
    <n v="180"/>
    <s v="Box/Carton"/>
    <n v="4.7E-2"/>
    <n v="8.2000000000000003E-2"/>
    <n v="329"/>
    <s v="Health"/>
    <s v="DINJCEFT1V-;31/01/2021"/>
    <s v="DINJCEFT1V-;31/01/2028"/>
    <s v="CEFTRIAXONE sodique, éq. 1 g base, poudre, fl.(Reyoung Pharma Co., Ltd., China)"/>
    <x v="75"/>
    <s v="31/01/2028"/>
    <d v="2028-01-31T00:00:00"/>
    <x v="0"/>
    <n v="0"/>
    <n v="613"/>
    <n v="0"/>
    <n v="0"/>
  </r>
  <r>
    <x v="0"/>
    <d v="2019-05-28T00:00:00"/>
    <d v="2026-05-28T00:00:00"/>
    <n v="1250"/>
    <s v="Each"/>
    <n v="1250"/>
    <s v="Kit/Set"/>
    <n v="8.0000000000000002E-3"/>
    <n v="2.3E-2"/>
    <n v="1201"/>
    <s v="Health"/>
    <s v="DORAMETN2S-;01/09/2020"/>
    <s v="DORAMETN2S-;01/09/2027"/>
    <s v="METRONIDAZOLE benzoate, eq 200mg/5ml base, susp. orale, 100ml(Purna Pharmaceuticals NV, Belgium)"/>
    <x v="83"/>
    <s v="01/09/2027"/>
    <d v="2027-09-01T00:00:00"/>
    <x v="0"/>
    <n v="0"/>
    <n v="461"/>
    <n v="0"/>
    <n v="0"/>
  </r>
  <r>
    <x v="0"/>
    <d v="2019-05-28T00:00:00"/>
    <d v="2026-05-28T00:00:00"/>
    <n v="73000"/>
    <s v="Each"/>
    <n v="73"/>
    <s v="Box/Carton"/>
    <n v="6.0999999999999999E-2"/>
    <n v="0.10199999999999999"/>
    <n v="1086"/>
    <s v="Health"/>
    <s v="DORAMETN5T-;30/09/2020"/>
    <s v="DORAMETN5T-;30/09/2027"/>
    <s v="METRONIDAZOLE, 500 mg, comp.(Medopharma Malur,India)"/>
    <x v="84"/>
    <s v="30/09/2027"/>
    <d v="2027-09-30T00:00:00"/>
    <x v="0"/>
    <n v="0"/>
    <n v="490"/>
    <n v="0"/>
    <n v="0"/>
  </r>
  <r>
    <x v="0"/>
    <d v="2019-05-28T00:00:00"/>
    <d v="2026-05-28T00:00:00"/>
    <n v="180000"/>
    <s v="Each"/>
    <n v="180"/>
    <s v="Box/Carton"/>
    <n v="8.5000000000000006E-2"/>
    <n v="0.28000000000000003"/>
    <n v="6138"/>
    <s v="Health"/>
    <s v="DORACLOX5C-;31/03/2021"/>
    <s v="DORACLOX5C-;31/03/2028"/>
    <s v="CLOXACILLINE sodique, éq. 500 mg base, gél.(Medopharma,India)"/>
    <x v="70"/>
    <s v="31/03/2028"/>
    <d v="2028-03-31T00:00:00"/>
    <x v="0"/>
    <n v="0"/>
    <n v="673"/>
    <n v="0"/>
    <n v="0"/>
  </r>
  <r>
    <x v="0"/>
    <d v="2019-05-28T00:00:00"/>
    <d v="2026-05-28T00:00:00"/>
    <n v="37860"/>
    <s v="Each"/>
    <n v="631"/>
    <s v="Box/Carton"/>
    <n v="8.2000000000000003E-2"/>
    <n v="0.24399999999999999"/>
    <n v="3748"/>
    <s v="Health"/>
    <s v="DORALPVR4T-;31/08/2020"/>
    <s v="DORALPVR4T-;31/08/2027"/>
    <s v="LPV 100mg / r 25mg, comp.(Mylan Lab Limited,India)"/>
    <x v="85"/>
    <s v="31/08/2027"/>
    <d v="2027-08-31T00:00:00"/>
    <x v="2"/>
    <n v="74001.818181818177"/>
    <n v="460"/>
    <n v="15.348271541239775"/>
    <n v="15.348271541239775"/>
  </r>
  <r>
    <x v="0"/>
    <d v="2019-05-28T00:00:00"/>
    <d v="2026-05-28T00:00:00"/>
    <n v="5000"/>
    <s v="Each"/>
    <n v="500"/>
    <s v="Box/Carton"/>
    <n v="0.13"/>
    <n v="0.22800000000000001"/>
    <n v="775"/>
    <s v="Health"/>
    <s v="DINJCEFT1V-;30/10/2021"/>
    <s v="DINJCEFT1V-;30/10/2028"/>
    <s v="CEFTRIAXONE sodique, éq. 1 g base, poudre, fl.(NCPC Hebei Huamin Pharma Co,China)"/>
    <x v="75"/>
    <s v="30/10/2028"/>
    <d v="2028-10-30T00:00:00"/>
    <x v="0"/>
    <n v="0"/>
    <n v="886"/>
    <n v="0"/>
    <n v="0"/>
  </r>
  <r>
    <x v="0"/>
    <d v="2019-05-28T00:00:00"/>
    <d v="2026-05-28T00:00:00"/>
    <n v="90720"/>
    <s v="Each"/>
    <n v="1008"/>
    <s v="Box/Carton"/>
    <n v="0.115"/>
    <n v="0.251"/>
    <n v="9374"/>
    <s v="Health"/>
    <s v="DORAEFAV2TB;30/11/2021"/>
    <s v="DORAEFAV2TB;30/11/2028"/>
    <s v="EFAVIRENZ [EFV], 200 mg, comp. séc.(Strides Shasun  Limited,India)"/>
    <x v="86"/>
    <s v="30/11/2028"/>
    <d v="2028-11-30T00:00:00"/>
    <x v="2"/>
    <n v="17541.81818181818"/>
    <n v="917"/>
    <n v="155.14925373134329"/>
    <n v="155.14925373134329"/>
  </r>
  <r>
    <x v="0"/>
    <d v="2019-05-28T00:00:00"/>
    <d v="2026-05-28T00:00:00"/>
    <n v="1765"/>
    <s v="Each"/>
    <n v="1765"/>
    <s v="Kit/Set"/>
    <n v="0.251"/>
    <n v="0.72"/>
    <n v="3671"/>
    <s v="Health"/>
    <s v="DORAAMOC2S6;31/01/2021"/>
    <s v="DORAAMOC2S6;31/01/2028"/>
    <s v="AMOXICILLINE 250 mg / ac. CLAVULANIQUE 62.5mg/5ml pwd f 100.fl(Medochemie Ltd, Cyprus)"/>
    <x v="78"/>
    <s v="31/01/2028"/>
    <d v="2028-01-31T00:00:00"/>
    <x v="0"/>
    <n v="0"/>
    <n v="613"/>
    <n v="0"/>
    <n v="0"/>
  </r>
  <r>
    <x v="0"/>
    <d v="2019-05-28T00:00:00"/>
    <d v="2026-05-28T00:00:00"/>
    <n v="1000"/>
    <s v="Each"/>
    <n v="1"/>
    <s v="Box/Carton"/>
    <n v="1E-3"/>
    <n v="2E-3"/>
    <n v="9"/>
    <s v="Health"/>
    <s v="DORACOTR4T-;31/07/2021"/>
    <s v="DORACOTR4T-;31/07/2028"/>
    <s v="COTRIMOXAZOLE, 400 mg / 80 mg, comp.(Medopharma,India):7H164"/>
    <x v="87"/>
    <s v="31/07/2028"/>
    <d v="2028-07-31T00:00:00"/>
    <x v="0"/>
    <n v="0"/>
    <n v="795"/>
    <n v="0"/>
    <n v="0"/>
  </r>
  <r>
    <x v="0"/>
    <d v="2019-05-28T00:00:00"/>
    <d v="2026-05-28T00:00:00"/>
    <n v="20"/>
    <s v="Each"/>
    <n v="20"/>
    <s v="Box/Carton"/>
    <n v="3.0000000000000001E-3"/>
    <n v="0"/>
    <n v="25"/>
    <s v="Health"/>
    <s v="DORANEVI1S1;31/08/2020"/>
    <s v="DORANEVI1S1;31/08/2027"/>
    <s v="NEVIRAPINE [NVP], 50mg/5ml, susp. orale, 100 ml, fl.(CIPLA LTD,INDIA):IA80534"/>
    <x v="77"/>
    <s v="31/08/2027"/>
    <d v="2027-08-31T00:00:00"/>
    <x v="0"/>
    <n v="0"/>
    <n v="460"/>
    <n v="0"/>
    <n v="0"/>
  </r>
  <r>
    <x v="0"/>
    <d v="2019-05-28T00:00:00"/>
    <d v="2026-05-28T00:00:00"/>
    <n v="2"/>
    <s v="Each"/>
    <n v="0"/>
    <s v="Box/Carton"/>
    <n v="1E-3"/>
    <n v="2E-3"/>
    <n v="0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4.9059689288634507E-3"/>
    <n v="4.9059689288634507E-3"/>
  </r>
  <r>
    <x v="0"/>
    <d v="2019-05-28T00:00:00"/>
    <d v="2026-05-28T00:00:00"/>
    <n v="810"/>
    <s v="Each"/>
    <n v="40"/>
    <s v="Box/Carton"/>
    <n v="0.47599999999999998"/>
    <n v="0.82599999999999996"/>
    <n v="178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1.9869174161896974"/>
    <n v="1.9869174161896974"/>
  </r>
  <r>
    <x v="0"/>
    <d v="2019-05-28T00:00:00"/>
    <d v="2026-05-28T00:00:00"/>
    <n v="4880"/>
    <s v="Each"/>
    <n v="244"/>
    <s v="Box/Carton"/>
    <n v="2.867"/>
    <n v="5.3680000000000003"/>
    <n v="1074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11.970564186426818"/>
    <n v="11.970564186426818"/>
  </r>
  <r>
    <x v="0"/>
    <d v="2019-05-28T00:00:00"/>
    <d v="2026-05-28T00:00:00"/>
    <n v="535"/>
    <s v="Each"/>
    <n v="535"/>
    <s v="None/Loose"/>
    <n v="0.27800000000000002"/>
    <n v="1.5409999999999999"/>
    <n v="915"/>
    <s v="Health"/>
    <s v="SDRECOTW5R-;28/02/2022"/>
    <s v="SDRECOTW5R-;28/02/2029"/>
    <s v="COTON hydrophile, rouleau, 500 g(Suzhou Hengxiang Imp. &amp; Exp.Co, Ltd, china)"/>
    <x v="0"/>
    <s v="28/02/2029"/>
    <d v="2029-02-28T00:00:00"/>
    <x v="0"/>
    <n v="0"/>
    <n v="1007"/>
    <n v="0"/>
    <n v="0"/>
  </r>
  <r>
    <x v="0"/>
    <d v="2019-05-28T00:00:00"/>
    <d v="2026-05-28T00:00:00"/>
    <n v="2740"/>
    <s v="Each"/>
    <n v="91"/>
    <s v="Box/Carton"/>
    <n v="5.0000000000000001E-3"/>
    <n v="3.6999999999999998E-2"/>
    <n v="247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4.3144314918189611E-2"/>
    <n v="4.3144314918189611E-2"/>
  </r>
  <r>
    <x v="0"/>
    <d v="2019-05-28T00:00:00"/>
    <d v="2026-05-28T00:00:00"/>
    <n v="242880"/>
    <s v="Each"/>
    <n v="8096"/>
    <s v="Box/Carton"/>
    <n v="0.42099999999999999"/>
    <n v="3.238"/>
    <n v="21859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3.8244128493904719"/>
    <n v="3.8244128493904719"/>
  </r>
  <r>
    <x v="0"/>
    <d v="2019-05-28T00:00:00"/>
    <d v="2026-05-28T00:00:00"/>
    <n v="499200"/>
    <s v="Each"/>
    <n v="16640"/>
    <s v="Box/Carton"/>
    <n v="0.86499999999999999"/>
    <n v="6.6559999999999997"/>
    <n v="44928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7.8604532872847646"/>
    <n v="7.8604532872847646"/>
  </r>
  <r>
    <x v="0"/>
    <d v="2019-05-28T00:00:00"/>
    <d v="2026-05-28T00:00:00"/>
    <n v="141600"/>
    <s v="Each"/>
    <n v="4720"/>
    <s v="Box/Carton"/>
    <n v="0.245"/>
    <n v="1.8879999999999999"/>
    <n v="12744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2.2296478074509665"/>
    <n v="2.2296478074509665"/>
  </r>
  <r>
    <x v="0"/>
    <d v="2019-05-28T00:00:00"/>
    <d v="2026-05-28T00:00:00"/>
    <n v="1395"/>
    <s v="Each"/>
    <n v="1395"/>
    <s v="None/Loose"/>
    <n v="1.2999999999999999E-2"/>
    <n v="0.13500000000000001"/>
    <n v="117"/>
    <s v="Health"/>
    <s v="SINSIVPP20-;28/02/2022"/>
    <s v="SINSIVPP20-;28/02/2029"/>
    <s v="CATHETER IV, site d'injection, u.u. 20 G [1,0 x 32 mm], rose(La-med Health Pvt. Ltd,India)"/>
    <x v="90"/>
    <s v="28/02/2029"/>
    <d v="2029-02-28T00:00:00"/>
    <x v="0"/>
    <n v="0"/>
    <n v="1007"/>
    <n v="0"/>
    <n v="0"/>
  </r>
  <r>
    <x v="0"/>
    <d v="2019-05-28T00:00:00"/>
    <d v="2026-05-28T00:00:00"/>
    <n v="29715"/>
    <s v="Each"/>
    <n v="29715"/>
    <s v="None/Loose"/>
    <n v="0.26400000000000001"/>
    <n v="2.867"/>
    <n v="2496"/>
    <s v="Health"/>
    <s v="SINSIVPP22-;28/02/2022"/>
    <s v="SINSIVPP22-;28/02/2029"/>
    <s v="CATHETER IV, site d'injection, u.u. 22 G [ 0,8 x 25 mm] bleu(La-med Health Pvt. Ltd,India)"/>
    <x v="91"/>
    <s v="28/02/2029"/>
    <d v="2029-02-28T00:00:00"/>
    <x v="0"/>
    <n v="0"/>
    <n v="1007"/>
    <n v="0"/>
    <n v="0"/>
  </r>
  <r>
    <x v="0"/>
    <d v="2019-05-28T00:00:00"/>
    <d v="2026-05-28T00:00:00"/>
    <n v="667"/>
    <s v="Litre"/>
    <n v="667"/>
    <s v="None/Loose"/>
    <n v="0.8"/>
    <n v="1.6679999999999999"/>
    <n v="2101"/>
    <s v="Health"/>
    <s v="SLASETHA9B1;"/>
    <s v="SLASETHA9B1;"/>
    <s v="ETHANOL, dénaturé, 95%, 1 l, fl.(Pharmaceutique francaise)"/>
    <x v="73"/>
    <s v=""/>
    <s v=""/>
    <x v="0"/>
    <n v="0"/>
    <n v="0"/>
    <n v="0"/>
    <n v="0"/>
  </r>
  <r>
    <x v="0"/>
    <d v="2019-05-28T00:00:00"/>
    <d v="2026-05-28T00:00:00"/>
    <n v="221"/>
    <s v="Litre"/>
    <n v="44"/>
    <s v="Drum/Barrel"/>
    <n v="5.2999999999999999E-2"/>
    <n v="0.111"/>
    <n v="672"/>
    <s v="Health"/>
    <s v="SLASETHA7B1;"/>
    <s v="SLASETHA7B1;"/>
    <s v="ETHANOL, dénaturé, 70%, [bidon de 5l](Pharmaceutique francaise)"/>
    <x v="92"/>
    <s v=""/>
    <s v=""/>
    <x v="0"/>
    <n v="0"/>
    <n v="0"/>
    <n v="0"/>
    <n v="0"/>
  </r>
  <r>
    <x v="0"/>
    <d v="2019-05-28T00:00:00"/>
    <d v="2026-05-28T00:00:00"/>
    <n v="300"/>
    <s v="Each"/>
    <n v="3"/>
    <s v="Box/Carton"/>
    <n v="0"/>
    <n v="0.03"/>
    <n v="3"/>
    <s v="Health"/>
    <s v="ELABCOVG22-;31/10/2020"/>
    <s v="ELABCOVG22-;31/10/2027"/>
    <s v="LAMELLE COUVRE-OBJET, 22 x 22 mm(Hebei Medecine- Health Products,China)"/>
    <x v="93"/>
    <s v="31/10/2027"/>
    <d v="2027-10-31T00:00:00"/>
    <x v="0"/>
    <n v="0"/>
    <n v="521"/>
    <n v="0"/>
    <n v="0"/>
  </r>
  <r>
    <x v="0"/>
    <d v="2019-05-28T00:00:00"/>
    <d v="2026-05-28T00:00:00"/>
    <n v="24025"/>
    <s v="Each"/>
    <n v="24025"/>
    <s v="None/Loose"/>
    <n v="0.84099999999999997"/>
    <n v="7.1109999999999998"/>
    <n v="3364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0"/>
    <d v="2019-05-28T00:00:00"/>
    <d v="2026-05-28T00:00:00"/>
    <n v="47330"/>
    <s v="Each"/>
    <n v="47330"/>
    <s v="None/Loose"/>
    <n v="0.44"/>
    <n v="4.5670000000000002"/>
    <n v="3976"/>
    <s v="Health"/>
    <s v="SINSIVPP18-;28/02/2022"/>
    <s v="SINSIVPP18-;28/02/2029"/>
    <s v="CATHETER IV, site d'injection, u.u. 18 G [1,2 x 45 mm], vert(La-Med Healthcare Pvt. Ltd,India)"/>
    <x v="95"/>
    <s v="28/02/2029"/>
    <d v="2029-02-28T00:00:00"/>
    <x v="0"/>
    <n v="0"/>
    <n v="1007"/>
    <n v="0"/>
    <n v="0"/>
  </r>
  <r>
    <x v="0"/>
    <d v="2019-05-28T00:00:00"/>
    <d v="2026-05-28T00:00:00"/>
    <n v="33280"/>
    <s v="Each"/>
    <n v="33280"/>
    <s v="None/Loose"/>
    <n v="0.309"/>
    <n v="3.2120000000000002"/>
    <n v="2796"/>
    <s v="Health"/>
    <s v="SINSIVPP20-;28/02/2022"/>
    <s v="SINSIVPP20-;28/02/2029"/>
    <s v="CATHETER IV, site d'injection, u.u. 20 G [1,0 x 32 mm], rose(La-Med Healthcare Pvt. Ltd,India)"/>
    <x v="90"/>
    <s v="28/02/2029"/>
    <d v="2029-02-28T00:00:00"/>
    <x v="0"/>
    <n v="0"/>
    <n v="1007"/>
    <n v="0"/>
    <n v="0"/>
  </r>
  <r>
    <x v="0"/>
    <d v="2019-05-28T00:00:00"/>
    <d v="2026-05-28T00:00:00"/>
    <n v="2000"/>
    <s v="Each"/>
    <n v="2000"/>
    <s v="None/Loose"/>
    <n v="1.7999999999999999E-2"/>
    <n v="0.193"/>
    <n v="168"/>
    <s v="Health"/>
    <s v="SINSIVPP22-;28/02/2022"/>
    <s v="SINSIVPP22-;28/02/2029"/>
    <s v="CATHETER IV, site d'injection, u.u. 22 G [0,8 x 25 mm] bleu(La-Med Healthcare Pvt. Ltd,India)"/>
    <x v="91"/>
    <s v="28/02/2029"/>
    <d v="2029-02-28T00:00:00"/>
    <x v="0"/>
    <n v="0"/>
    <n v="1007"/>
    <n v="0"/>
    <n v="0"/>
  </r>
  <r>
    <x v="0"/>
    <d v="2019-05-28T00:00:00"/>
    <d v="2026-05-28T00:00:00"/>
    <n v="66022"/>
    <s v="Each"/>
    <n v="660"/>
    <s v="Box/Carton"/>
    <n v="0.64900000000000002"/>
    <n v="5.2889999999999997"/>
    <n v="2258"/>
    <s v="Health"/>
    <s v="SINSSYDL10-;31/10/2020"/>
    <s v="SINSSYDL10-;31/10/2027"/>
    <s v="SERINGUE, u.u., Luer, 10 ml(Suzhou Hengxiang Co Ltd,China)"/>
    <x v="96"/>
    <s v="31/10/2027"/>
    <d v="2027-10-31T00:00:00"/>
    <x v="0"/>
    <n v="0"/>
    <n v="521"/>
    <n v="0"/>
    <n v="0"/>
  </r>
  <r>
    <x v="0"/>
    <d v="2019-05-28T00:00:00"/>
    <d v="2026-05-28T00:00:00"/>
    <n v="15750"/>
    <s v="Each"/>
    <n v="315"/>
    <s v="Box/Carton"/>
    <n v="8.1000000000000003E-2"/>
    <n v="4.4999999999999998E-2"/>
    <n v="302"/>
    <s v="Health"/>
    <s v="ELABSLID1FT;31/10/2020"/>
    <s v="ELABSLID1FT;31/10/2027"/>
    <s v="LAME PORTE-OBJETS, dépolie, 76 x 26 mm,emballage tropicalisé(Ral Diagnostic)"/>
    <x v="97"/>
    <s v="31/10/2027"/>
    <d v="2027-10-31T00:00:00"/>
    <x v="0"/>
    <n v="0"/>
    <n v="521"/>
    <n v="0"/>
    <n v="0"/>
  </r>
  <r>
    <x v="0"/>
    <d v="2019-05-28T00:00:00"/>
    <d v="2026-05-28T00:00:00"/>
    <n v="70"/>
    <s v="Each"/>
    <n v="70"/>
    <s v="None/Loose"/>
    <n v="1.2999999999999999E-2"/>
    <n v="7.2999999999999995E-2"/>
    <n v="429"/>
    <s v="Health"/>
    <s v="SLASOILI2B5;28/02/2022"/>
    <s v="SLASOILI2B5;28/02/2029"/>
    <s v="HUILE IMMERSION, 250 ml, fl. compte-gouttes(Gainland Chemical CO UK.)"/>
    <x v="98"/>
    <s v="28/02/2029"/>
    <d v="2029-02-28T00:00:00"/>
    <x v="0"/>
    <n v="0"/>
    <n v="1007"/>
    <n v="0"/>
    <n v="0"/>
  </r>
  <r>
    <x v="0"/>
    <d v="2019-05-28T00:00:00"/>
    <d v="2026-05-28T00:00:00"/>
    <n v="30"/>
    <s v="Each"/>
    <n v="1"/>
    <s v="Bag/Sack"/>
    <n v="1E-3"/>
    <n v="8.9999999999999993E-3"/>
    <n v="26"/>
    <s v="Health"/>
    <s v="DORAARLU3T1;31/05/2019"/>
    <s v="DORAARLU3T1;31/05/2026"/>
    <s v="AL 20/120 mg, blister de 18 comp., 25-34 kg(Ajanta pharma Ltd,India)"/>
    <x v="99"/>
    <s v="31/05/2026"/>
    <d v="2026-05-31T00:00:00"/>
    <x v="3"/>
    <n v="41269.090909090912"/>
    <n v="3"/>
    <n v="2.1808088818398096E-2"/>
    <n v="2.1808088818398096E-2"/>
  </r>
  <r>
    <x v="0"/>
    <d v="2019-05-28T00:00:00"/>
    <d v="2026-05-28T00:00:00"/>
    <n v="189125"/>
    <s v="Each"/>
    <n v="7565"/>
    <s v="Box/Carton"/>
    <n v="2.4209999999999998"/>
    <n v="15.13"/>
    <n v="41608"/>
    <s v="Health"/>
    <s v="SSDTMALP25T2;31/01/2021"/>
    <s v="SSDTMALP25T2;31/01/2028"/>
    <s v="TEST MALARIA HRP-2/pan pLDH, st,1test [CareStart RMRM-02571](Access Bio,Inc.USA)"/>
    <x v="100"/>
    <s v="31/01/2028"/>
    <d v="2028-01-31T00:00:00"/>
    <x v="3"/>
    <n v="735190.90909090894"/>
    <n v="613"/>
    <n v="7.7173832399747759"/>
    <n v="7.7173832399747759"/>
  </r>
  <r>
    <x v="0"/>
    <d v="2019-05-28T00:00:00"/>
    <d v="2026-05-28T00:00:00"/>
    <n v="486500"/>
    <s v="Each"/>
    <n v="4865"/>
    <s v="Bag/Sack"/>
    <n v="0.42699999999999999"/>
    <n v="1.5049999999999999"/>
    <n v="39407"/>
    <s v="Health"/>
    <s v="DORASULP5T-;31/03/2023"/>
    <s v="DORASULP5T-;31/03/2030"/>
    <s v="SULFADOXINE, 500 mg / PYRIMETHAMINE, 25 mg, comp.(Remedica Ltd,Chypre)"/>
    <x v="89"/>
    <s v="31/03/2030"/>
    <d v="2030-03-31T00:00:00"/>
    <x v="3"/>
    <n v="1905233.63636363"/>
    <n v="1403"/>
    <n v="7.6604778130289217"/>
    <n v="7.6604778130289217"/>
  </r>
  <r>
    <x v="0"/>
    <d v="2019-05-28T00:00:00"/>
    <d v="2026-05-28T00:00:00"/>
    <n v="109200"/>
    <s v="Each"/>
    <n v="1092"/>
    <s v="Box/Carton"/>
    <n v="9.6000000000000002E-2"/>
    <n v="0.33800000000000002"/>
    <n v="8845"/>
    <s v="Health"/>
    <s v="DORASULP5T-;31/03/2023"/>
    <s v="DORASULP5T-;31/03/2030"/>
    <s v="SULFADOXINE, 500 mg / PYRIMETHAMINE, 25 mg, comp.(Remedica Ltd,Chypre)"/>
    <x v="89"/>
    <s v="31/03/2030"/>
    <d v="2030-03-31T00:00:00"/>
    <x v="3"/>
    <n v="1905233.63636363"/>
    <n v="1403"/>
    <n v="1.7194741565935421"/>
    <n v="1.7194741565935421"/>
  </r>
  <r>
    <x v="0"/>
    <d v="2019-05-28T00:00:00"/>
    <d v="2026-05-28T00:00:00"/>
    <n v="107580"/>
    <s v="Each"/>
    <n v="3586"/>
    <s v="Box/Carton"/>
    <n v="0.92200000000000004"/>
    <n v="4.8289999999999997"/>
    <n v="30122"/>
    <s v="Health"/>
    <s v="DORAARLU1TD1;31/01/2021"/>
    <s v="DORAARLU1TD1;31/01/2028"/>
    <s v="AL 20/120 mg, blister de 6 comp. disp., 5-14 kg(Ajanta pharma Limited,India):PA0459B"/>
    <x v="101"/>
    <s v="31/01/2028"/>
    <d v="2028-01-31T00:00:00"/>
    <x v="3"/>
    <n v="45469.090909090912"/>
    <n v="613"/>
    <n v="70.980086372360844"/>
    <n v="70.980086372360844"/>
  </r>
  <r>
    <x v="0"/>
    <d v="2019-05-28T00:00:00"/>
    <d v="2026-05-28T00:00:00"/>
    <n v="31500"/>
    <s v="Each"/>
    <n v="1050"/>
    <s v="Box/Carton"/>
    <n v="0.14499999999999999"/>
    <n v="0.92400000000000004"/>
    <n v="9450"/>
    <s v="Health"/>
    <s v="DORAARLU1TD1;30/09/2020"/>
    <s v="DORAARLU1TD1;30/09/2027"/>
    <s v="AL 20/120 mg, blister de 6 comp. disp., 5-14 kg(CIPLA LTD, India):ID83327"/>
    <x v="101"/>
    <s v="30/09/2027"/>
    <d v="2027-09-30T00:00:00"/>
    <x v="3"/>
    <n v="45469.090909090912"/>
    <n v="490"/>
    <n v="20.783349328214971"/>
    <n v="20.783349328214971"/>
  </r>
  <r>
    <x v="0"/>
    <d v="2019-05-28T00:00:00"/>
    <d v="2026-05-28T00:00:00"/>
    <n v="57500"/>
    <s v="Each"/>
    <n v="2300"/>
    <s v="Box/Carton"/>
    <n v="0.69"/>
    <n v="2.09"/>
    <n v="9775"/>
    <s v="Health"/>
    <s v="SSDTMALP25T2;31/01/2021"/>
    <s v="SSDTMALP25T2;31/01/2028"/>
    <s v="TEST MALARIA Pf [HRP-2] Ag RDT, st,1test [CareStart RMOM-02571](Access Bio,Inc.USA):MO18H62"/>
    <x v="100"/>
    <s v="31/01/2028"/>
    <d v="2028-01-31T00:00:00"/>
    <x v="3"/>
    <n v="735190.90909090894"/>
    <n v="613"/>
    <n v="2.3463293393181739"/>
    <n v="2.3463293393181739"/>
  </r>
  <r>
    <x v="0"/>
    <d v="2019-05-28T00:00:00"/>
    <d v="2026-05-28T00:00:00"/>
    <n v="201"/>
    <s v="Each"/>
    <n v="201"/>
    <s v="None/Loose"/>
    <n v="2E-3"/>
    <n v="1.9E-2"/>
    <n v="17"/>
    <s v="Health"/>
    <s v="SINSIVPP22-;28/02/2022"/>
    <s v="SINSIVPP22-;28/02/2029"/>
    <s v="CATHETER IV, site d'injection, u.u. 22 G [ 0,8 x 25 mm] bleu(La-med Health Pvt. Ltd,India):1703010"/>
    <x v="91"/>
    <s v="28/02/2029"/>
    <d v="2029-02-28T00:00:00"/>
    <x v="0"/>
    <n v="0"/>
    <n v="1007"/>
    <n v="0"/>
    <n v="0"/>
  </r>
  <r>
    <x v="0"/>
    <d v="2019-05-28T00:00:00"/>
    <d v="2026-05-28T00:00:00"/>
    <n v="1670"/>
    <s v="Each"/>
    <n v="1670"/>
    <s v="None/Loose"/>
    <n v="3.0000000000000001E-3"/>
    <n v="2.1000000000000001E-2"/>
    <n v="144"/>
    <s v="Health"/>
    <s v="DORASULP5T-;31/07/2022"/>
    <s v="DORASULP5T-;31/07/2029"/>
    <s v="SULFADOXINE, 500 mg / PYRIMETHAMINE, 25 mg, comp.(Remedica Ltd,Chypre):73199"/>
    <x v="89"/>
    <s v="31/07/2029"/>
    <d v="2029-07-31T00:00:00"/>
    <x v="3"/>
    <n v="1905233.63636363"/>
    <n v="1160"/>
    <n v="2.6295987559626512E-2"/>
    <n v="2.6295987559626512E-2"/>
  </r>
  <r>
    <x v="0"/>
    <d v="2019-05-28T00:00:00"/>
    <d v="2026-05-28T00:00:00"/>
    <n v="210"/>
    <s v="Each"/>
    <n v="7"/>
    <s v="Box/Carton"/>
    <n v="0"/>
    <n v="3.0000000000000001E-3"/>
    <n v="19"/>
    <s v="Health"/>
    <s v="DORASULP5T-;31/07/2022"/>
    <s v="DORASULP5T-;31/07/2029"/>
    <s v="SULFADOXINE, 500 mg / PYRIMETHAMINE, 25 mg, comp.(Remedica Ltd,Chypre):73203"/>
    <x v="89"/>
    <s v="31/07/2029"/>
    <d v="2029-07-31T00:00:00"/>
    <x v="3"/>
    <n v="1905233.63636363"/>
    <n v="1160"/>
    <n v="3.3066810703721965E-3"/>
    <n v="3.3066810703721965E-3"/>
  </r>
  <r>
    <x v="0"/>
    <d v="2019-05-28T00:00:00"/>
    <d v="2026-05-28T00:00:00"/>
    <n v="4980"/>
    <s v="Each"/>
    <n v="166"/>
    <s v="Box/Carton"/>
    <n v="3.1E-2"/>
    <n v="0.14599999999999999"/>
    <n v="2241"/>
    <s v="Health"/>
    <s v="DORAARLU2TD1;30/09/2020"/>
    <s v="DORAARLU2TD1;30/09/2027"/>
    <s v="AL 20/120 mg, blister de 12 comp. disp., 15-24 kg(CIPLA LTD,India):ID83325"/>
    <x v="102"/>
    <s v="30/09/2027"/>
    <d v="2027-09-30T00:00:00"/>
    <x v="3"/>
    <n v="41561.181818181816"/>
    <n v="490"/>
    <n v="3.5947004744374671"/>
    <n v="3.5947004744374671"/>
  </r>
  <r>
    <x v="0"/>
    <d v="2019-05-28T00:00:00"/>
    <d v="2026-05-28T00:00:00"/>
    <n v="94500"/>
    <s v="Each"/>
    <n v="3150"/>
    <s v="Box/Carton"/>
    <n v="0.58799999999999997"/>
    <n v="2.7719999999999998"/>
    <n v="42525"/>
    <s v="Health"/>
    <s v="DORAARLU2TD1;30/09/2020"/>
    <s v="DORAARLU2TD1;30/09/2027"/>
    <s v="AL 20/120 mg, blister de 12 comp. disp., 15-24 kg(CIPLA LTD,India):ID83324"/>
    <x v="102"/>
    <s v="30/09/2027"/>
    <d v="2027-09-30T00:00:00"/>
    <x v="3"/>
    <n v="41561.181818181816"/>
    <n v="490"/>
    <n v="68.212689725771199"/>
    <n v="68.212689725771199"/>
  </r>
  <r>
    <x v="0"/>
    <d v="2019-05-28T00:00:00"/>
    <d v="2026-05-28T00:00:00"/>
    <n v="300"/>
    <s v="Each"/>
    <n v="10"/>
    <s v="Box/Carton"/>
    <n v="3.0000000000000001E-3"/>
    <n v="1.4999999999999999E-2"/>
    <n v="159"/>
    <s v="Health"/>
    <s v="DORAARLU3T1;30/09/2021"/>
    <s v="DORAARLU3T1;30/09/2028"/>
    <s v="AL 20/120 mg, blister de 18 comp., 25-34 kg(OXALIS LABS,India):NAA8647A"/>
    <x v="99"/>
    <s v="30/09/2028"/>
    <d v="2028-09-30T00:00:00"/>
    <x v="3"/>
    <n v="41269.090909090912"/>
    <n v="856"/>
    <n v="0.21808088818398094"/>
    <n v="0.21808088818398094"/>
  </r>
  <r>
    <x v="0"/>
    <d v="2019-05-28T00:00:00"/>
    <d v="2026-05-28T00:00:00"/>
    <n v="15270"/>
    <s v="Each"/>
    <n v="509"/>
    <s v="Box/Carton"/>
    <n v="0.13600000000000001"/>
    <n v="0.75"/>
    <n v="8088"/>
    <s v="Health"/>
    <s v="DORAARLU3T1;30/09/2021"/>
    <s v="DORAARLU3T1;30/09/2028"/>
    <s v="AL 20/120 mg, blister de 18 comp., 25-34 kg(OXALIS LABS,India):NAA8650A"/>
    <x v="99"/>
    <s v="30/09/2028"/>
    <d v="2028-09-30T00:00:00"/>
    <x v="3"/>
    <n v="41269.090909090912"/>
    <n v="856"/>
    <n v="11.100317208564631"/>
    <n v="11.100317208564631"/>
  </r>
  <r>
    <x v="0"/>
    <d v="2019-05-28T00:00:00"/>
    <d v="2026-05-28T00:00:00"/>
    <n v="54450"/>
    <s v="Each"/>
    <n v="1815"/>
    <s v="Box/Carton"/>
    <n v="0.48499999999999999"/>
    <n v="2.6760000000000002"/>
    <n v="28840"/>
    <s v="Health"/>
    <s v="DORAARLU3T1;30/09/2021"/>
    <s v="DORAARLU3T1;30/09/2028"/>
    <s v="AL 20/120 mg, blister de 18 comp., 25-34 kg(OXALIS LABS,India):NAA8659A"/>
    <x v="99"/>
    <s v="30/09/2028"/>
    <d v="2028-09-30T00:00:00"/>
    <x v="3"/>
    <n v="41269.090909090912"/>
    <n v="856"/>
    <n v="39.581681205392542"/>
    <n v="39.581681205392542"/>
  </r>
  <r>
    <x v="0"/>
    <d v="2019-05-28T00:00:00"/>
    <d v="2026-05-28T00:00:00"/>
    <n v="240"/>
    <s v="Each"/>
    <n v="8"/>
    <s v="Box/Carton"/>
    <n v="2E-3"/>
    <n v="1.2E-2"/>
    <n v="163"/>
    <s v="Health"/>
    <s v="DORAARLU4T1;30/09/2021"/>
    <s v="DORAARLU4T1;30/09/2028"/>
    <s v="AL 20/120 mg, blister de 24 comp., &gt;35 kg (OXALIS LABS,India):NAA8643B"/>
    <x v="103"/>
    <s v="30/09/2028"/>
    <d v="2028-09-30T00:00:00"/>
    <x v="3"/>
    <n v="61593.727272727272"/>
    <n v="856"/>
    <n v="0.11689502030165411"/>
    <n v="0.11689502030165411"/>
  </r>
  <r>
    <x v="0"/>
    <d v="2019-05-28T00:00:00"/>
    <d v="2026-05-28T00:00:00"/>
    <n v="180"/>
    <s v="Each"/>
    <n v="6"/>
    <s v="Box/Carton"/>
    <n v="2E-3"/>
    <n v="8.9999999999999993E-3"/>
    <n v="122"/>
    <s v="Health"/>
    <s v="DORAARLU4T1;30/09/2021"/>
    <s v="DORAARLU4T1;30/09/2028"/>
    <s v="AL 20/120 mg, blister de 24 comp., &gt;35 kg (OXALIS LABS,India):NAA8642A"/>
    <x v="103"/>
    <s v="30/09/2028"/>
    <d v="2028-09-30T00:00:00"/>
    <x v="3"/>
    <n v="61593.727272727272"/>
    <n v="856"/>
    <n v="8.7671265226240566E-2"/>
    <n v="8.7671265226240566E-2"/>
  </r>
  <r>
    <x v="0"/>
    <d v="2019-05-28T00:00:00"/>
    <d v="2026-05-28T00:00:00"/>
    <n v="900"/>
    <s v="Each"/>
    <n v="30"/>
    <s v="Box/Carton"/>
    <n v="8.9999999999999993E-3"/>
    <n v="4.2999999999999997E-2"/>
    <n v="611"/>
    <s v="Health"/>
    <s v="DORAARLU4T1;30/09/2021"/>
    <s v="DORAARLU4T1;30/09/2028"/>
    <s v="AL 20/120 mg, blister de 24 comp., &gt;35 kg (OXALIS LABS,India):NAA8644A"/>
    <x v="103"/>
    <s v="30/09/2028"/>
    <d v="2028-09-30T00:00:00"/>
    <x v="3"/>
    <n v="61593.727272727272"/>
    <n v="856"/>
    <n v="0.43835632613120284"/>
    <n v="0.43835632613120284"/>
  </r>
  <r>
    <x v="0"/>
    <d v="2019-05-28T00:00:00"/>
    <d v="2026-05-28T00:00:00"/>
    <n v="28350"/>
    <s v="Each"/>
    <n v="945"/>
    <s v="Box/Carton"/>
    <n v="0.29299999999999998"/>
    <n v="1.37"/>
    <n v="19250"/>
    <s v="Health"/>
    <s v="DORAARLU4T1;30/09/2021"/>
    <s v="DORAARLU4T1;30/09/2028"/>
    <s v="AL 20/120 mg, blister de 24 comp., &gt;35 kg (OXALIS LABS,India):NAA8648A"/>
    <x v="103"/>
    <s v="30/09/2028"/>
    <d v="2028-09-30T00:00:00"/>
    <x v="3"/>
    <n v="61593.727272727272"/>
    <n v="856"/>
    <n v="13.80822427313289"/>
    <n v="13.80822427313289"/>
  </r>
  <r>
    <x v="0"/>
    <d v="2019-05-28T00:00:00"/>
    <d v="2026-05-28T00:00:00"/>
    <n v="40680"/>
    <s v="Each"/>
    <n v="1352"/>
    <s v="Box/Carton"/>
    <n v="0.42"/>
    <n v="1.96"/>
    <n v="27622"/>
    <s v="Health"/>
    <s v="DORAARLU4T1;30/09/2021"/>
    <s v="DORAARLU4T1;30/09/2028"/>
    <s v="AL 20/120 mg, blister de 24 comp., &gt;35 kg (OXALIS LABS,India):NAA8649A"/>
    <x v="103"/>
    <s v="30/09/2028"/>
    <d v="2028-09-30T00:00:00"/>
    <x v="3"/>
    <n v="61593.727272727272"/>
    <n v="856"/>
    <n v="19.813705941130369"/>
    <n v="19.813705941130369"/>
  </r>
  <r>
    <x v="0"/>
    <d v="2019-05-28T00:00:00"/>
    <d v="2026-05-28T00:00:00"/>
    <n v="40620"/>
    <s v="Each"/>
    <n v="1354"/>
    <s v="Box/Carton"/>
    <n v="0.42"/>
    <n v="1.96"/>
    <n v="27581"/>
    <s v="Health"/>
    <s v="DORAARLU4T1;30/09/2021"/>
    <s v="DORAARLU4T1;30/09/2028"/>
    <s v="AL 20/120 mg, blister de 24 comp., &gt;35 kg (OXALIS LABS,India):NAA8651A"/>
    <x v="103"/>
    <s v="30/09/2028"/>
    <d v="2028-09-30T00:00:00"/>
    <x v="3"/>
    <n v="61593.727272727272"/>
    <n v="856"/>
    <n v="19.784482186054959"/>
    <n v="19.784482186054959"/>
  </r>
  <r>
    <x v="0"/>
    <d v="2019-05-28T00:00:00"/>
    <d v="2026-05-28T00:00:00"/>
    <n v="40710"/>
    <s v="Each"/>
    <n v="1357"/>
    <s v="Box/Carton"/>
    <n v="0.42"/>
    <n v="1.96"/>
    <n v="27642"/>
    <s v="Health"/>
    <s v="DORAARLU4T1;30/09/2021"/>
    <s v="DORAARLU4T1;30/09/2028"/>
    <s v="AL 20/120 mg, blister de 24 comp., &gt;35 kg (OXALIS LABS,India):NAA8652A"/>
    <x v="103"/>
    <s v="30/09/2028"/>
    <d v="2028-09-30T00:00:00"/>
    <x v="3"/>
    <n v="61593.727272727272"/>
    <n v="856"/>
    <n v="19.828317818668076"/>
    <n v="19.828317818668076"/>
  </r>
  <r>
    <x v="0"/>
    <d v="2019-05-28T00:00:00"/>
    <d v="2026-05-28T00:00:00"/>
    <n v="41010"/>
    <s v="Each"/>
    <n v="1367"/>
    <s v="Bag/Sack"/>
    <n v="0.42399999999999999"/>
    <n v="2.0099999999999998"/>
    <n v="27846"/>
    <s v="Health"/>
    <s v="DORAARLU4T1;30/09/2021"/>
    <s v="DORAARLU4T1;30/09/2028"/>
    <s v="AL 20/120 mg, blister de 24 comp., &gt;35 kg (OXALIS LABS,India):NAA8653A"/>
    <x v="103"/>
    <s v="30/09/2028"/>
    <d v="2028-09-30T00:00:00"/>
    <x v="3"/>
    <n v="61593.727272727272"/>
    <n v="856"/>
    <n v="19.974436594045144"/>
    <n v="19.974436594045144"/>
  </r>
  <r>
    <x v="0"/>
    <d v="2019-05-28T00:00:00"/>
    <d v="2026-05-28T00:00:00"/>
    <n v="40890"/>
    <s v="Each"/>
    <n v="1363"/>
    <s v="Box/Carton"/>
    <n v="0.42299999999999999"/>
    <n v="2.0099999999999998"/>
    <n v="27764"/>
    <s v="Health"/>
    <s v="DORAARLU4T1;30/09/2021"/>
    <s v="DORAARLU4T1;30/09/2028"/>
    <s v="AL 20/120 mg, blister de 24 comp., &gt;35 kg (OXALIS LABS,India):NAA8654A"/>
    <x v="103"/>
    <s v="30/09/2028"/>
    <d v="2028-09-30T00:00:00"/>
    <x v="3"/>
    <n v="61593.727272727272"/>
    <n v="856"/>
    <n v="19.915989083894317"/>
    <n v="19.915989083894317"/>
  </r>
  <r>
    <x v="0"/>
    <d v="2019-05-28T00:00:00"/>
    <d v="2026-05-28T00:00:00"/>
    <n v="40860"/>
    <s v="Each"/>
    <n v="1362"/>
    <s v="Box/Carton"/>
    <n v="0.42199999999999999"/>
    <n v="2.0099999999999998"/>
    <n v="27744"/>
    <s v="Health"/>
    <s v="DORAARLU4T1;30/09/2021"/>
    <s v="DORAARLU4T1;30/09/2028"/>
    <s v="AL 20/120 mg, blister de 24 comp., &gt;35 kg (OXALIS LABS,India):NAA8655A"/>
    <x v="103"/>
    <s v="30/09/2028"/>
    <d v="2028-09-30T00:00:00"/>
    <x v="3"/>
    <n v="61593.727272727272"/>
    <n v="856"/>
    <n v="19.90137720635661"/>
    <n v="19.90137720635661"/>
  </r>
  <r>
    <x v="0"/>
    <d v="2019-05-28T00:00:00"/>
    <d v="2026-05-28T00:00:00"/>
    <n v="40380"/>
    <s v="Each"/>
    <n v="1346"/>
    <s v="Box/Carton"/>
    <n v="0.41699999999999998"/>
    <n v="1.96"/>
    <n v="27418"/>
    <s v="Health"/>
    <s v="DORAARLU4T1;30/09/2021"/>
    <s v="DORAARLU4T1;30/09/2028"/>
    <s v="AL 20/120 mg, blister de 24 comp., &gt;35 kg (OXALIS LABS,India):NAA8656A"/>
    <x v="103"/>
    <s v="30/09/2028"/>
    <d v="2028-09-30T00:00:00"/>
    <x v="3"/>
    <n v="61593.727272727272"/>
    <n v="856"/>
    <n v="19.6675871657533"/>
    <n v="19.6675871657533"/>
  </r>
  <r>
    <x v="0"/>
    <d v="2019-05-28T00:00:00"/>
    <d v="2026-05-28T00:00:00"/>
    <n v="40800"/>
    <s v="Each"/>
    <n v="1360"/>
    <s v="Box/Carton"/>
    <n v="0.42199999999999999"/>
    <n v="1.96"/>
    <n v="27703"/>
    <s v="Health"/>
    <s v="DORAARLU4T1;30/09/2021"/>
    <s v="DORAARLU4T1;30/09/2028"/>
    <s v="AL 20/120 mg, blister de 24 comp., &gt;35 kg (OXALIS LABS,India):NAA8657A"/>
    <x v="103"/>
    <s v="30/09/2028"/>
    <d v="2028-09-30T00:00:00"/>
    <x v="3"/>
    <n v="61593.727272727272"/>
    <n v="856"/>
    <n v="19.872153451281196"/>
    <n v="19.872153451281196"/>
  </r>
  <r>
    <x v="0"/>
    <d v="2019-05-28T00:00:00"/>
    <d v="2026-05-28T00:00:00"/>
    <n v="40860"/>
    <s v="Each"/>
    <n v="1362"/>
    <s v="Box/Carton"/>
    <n v="0.42199999999999999"/>
    <n v="2.0099999999999998"/>
    <n v="27744"/>
    <s v="Health"/>
    <s v="DORAARLU4T1;30/09/2021"/>
    <s v="DORAARLU4T1;30/09/2028"/>
    <s v="AL 20/120 mg, blister de 24 comp., &gt;35 kg (OXALIS LABS,India):NAA8658A"/>
    <x v="103"/>
    <s v="30/09/2028"/>
    <d v="2028-09-30T00:00:00"/>
    <x v="3"/>
    <n v="61593.727272727272"/>
    <n v="856"/>
    <n v="19.90137720635661"/>
    <n v="19.90137720635661"/>
  </r>
  <r>
    <x v="0"/>
    <d v="2019-05-28T00:00:00"/>
    <d v="2026-05-28T00:00:00"/>
    <n v="14541"/>
    <s v="Each"/>
    <n v="14541"/>
    <s v="Box/Carton"/>
    <n v="0.72699999999999998"/>
    <n v="3.6469999999999998"/>
    <n v="21084"/>
    <s v="Health"/>
    <s v="DINJARTS6V-;25/06/2021"/>
    <s v="DINJARTS6V-;25/06/2028"/>
    <s v="ARTESUNATE 60 mg, poudre, fl +NaHCO3 5% 1ml +NaCl 0.9% 5ml(Guilin Pharmaceutical Co. Ltd,China):LA181126"/>
    <x v="104"/>
    <s v="25/06/2028"/>
    <d v="2028-06-25T00:00:00"/>
    <x v="3"/>
    <n v="1132520.9090909001"/>
    <n v="759"/>
    <n v="0.38518494139783399"/>
    <n v="0.38518494139783399"/>
  </r>
  <r>
    <x v="0"/>
    <d v="2019-05-28T00:00:00"/>
    <d v="2026-05-28T00:00:00"/>
    <n v="12800"/>
    <s v="Each"/>
    <n v="12800"/>
    <s v="Box/Carton"/>
    <n v="0.64"/>
    <n v="3.21"/>
    <n v="18560"/>
    <s v="Health"/>
    <s v="DINJARTS6V-;25/06/2021"/>
    <s v="DINJARTS6V-;25/06/2028"/>
    <s v="ARTESUNATE 60 mg, poudre, fl +NaHCO3 5% 1ml +NaCl 0.9% 5ml(Guilin Pharmaceutical Co. Ltd,China):LA181125"/>
    <x v="104"/>
    <s v="25/06/2028"/>
    <d v="2028-06-25T00:00:00"/>
    <x v="3"/>
    <n v="1132520.9090909001"/>
    <n v="759"/>
    <n v="0.33906658757253799"/>
    <n v="0.33906658757253799"/>
  </r>
  <r>
    <x v="0"/>
    <d v="2019-05-28T00:00:00"/>
    <d v="2026-05-28T00:00:00"/>
    <n v="52800"/>
    <s v="Each"/>
    <n v="52800"/>
    <s v="Box/Carton"/>
    <n v="2.64"/>
    <n v="13.242000000000001"/>
    <n v="76560"/>
    <s v="Health"/>
    <s v="DINJARTS6V-;27/06/2021"/>
    <s v="DINJARTS6V-;27/06/2028"/>
    <s v="ARTESUNATE 60 mg, poudre, fl +NaHCO3 5% 1ml +NaCl 0.9% 5ml(Guilin Pharmaceutical Co. Ltd,China):LA181131"/>
    <x v="104"/>
    <s v="27/06/2028"/>
    <d v="2028-06-27T00:00:00"/>
    <x v="3"/>
    <n v="1132520.9090909001"/>
    <n v="761"/>
    <n v="1.3986496737367191"/>
    <n v="1.3986496737367191"/>
  </r>
  <r>
    <x v="0"/>
    <d v="2019-05-28T00:00:00"/>
    <d v="2026-05-28T00:00:00"/>
    <n v="23700"/>
    <s v="Each"/>
    <n v="23700"/>
    <s v="Box/Carton"/>
    <n v="1.1850000000000001"/>
    <n v="5.944"/>
    <n v="34365"/>
    <s v="Health"/>
    <s v="DINJARTS6V-;26/06/2021"/>
    <s v="DINJARTS6V-;26/06/2028"/>
    <s v="ARTESUNATE 60 mg, poudre, fl +NaHCO3 5% 1ml +NaCl 0.9% 5ml(Guilin Pharmaceutical Co. Ltd,China):LA181127"/>
    <x v="104"/>
    <s v="26/06/2028"/>
    <d v="2028-06-26T00:00:00"/>
    <x v="3"/>
    <n v="1132520.9090909001"/>
    <n v="760"/>
    <n v="0.62780297855227729"/>
    <n v="0.62780297855227729"/>
  </r>
  <r>
    <x v="0"/>
    <d v="2019-05-28T00:00:00"/>
    <d v="2026-05-28T00:00:00"/>
    <n v="36853"/>
    <s v="Bulk (kg)"/>
    <n v="36853"/>
    <s v="Box/Carton"/>
    <n v="1.843"/>
    <n v="9.2430000000000003"/>
    <n v="53437"/>
    <s v="Health"/>
    <s v="DINJARTS6V-;25/06/2021"/>
    <s v="DINJARTS6V-;25/06/2028"/>
    <s v="ARTESUNATE 60 mg, poudre, fl +NaHCO3 5% 1ml +NaCl 0.9% 5ml(Guilin Pharmaceutical Co. Ltd,China):LA181107"/>
    <x v="104"/>
    <s v="25/06/2028"/>
    <d v="2028-06-25T00:00:00"/>
    <x v="3"/>
    <n v="1132520.9090909001"/>
    <n v="759"/>
    <n v="0.97622038686021417"/>
    <n v="0.97622038686021417"/>
  </r>
  <r>
    <x v="0"/>
    <d v="2019-05-28T00:00:00"/>
    <d v="2026-05-28T00:00:00"/>
    <n v="73200"/>
    <s v="Each"/>
    <n v="73200"/>
    <s v="Box/Carton"/>
    <n v="3.66"/>
    <n v="18.359000000000002"/>
    <n v="106"/>
    <s v="Health"/>
    <s v="DINJARTS6V-;26/06/2021"/>
    <s v="DINJARTS6V-;26/06/2028"/>
    <s v="ARTESUNATE 60 mg, poudre, fl +NaHCO3 5% 1ml +NaCl 0.9% 5ml(Guilin Pharmaceutical Co. Ltd,China):LA181128"/>
    <x v="104"/>
    <s v="26/06/2028"/>
    <d v="2028-06-26T00:00:00"/>
    <x v="3"/>
    <n v="1132520.9090909001"/>
    <n v="760"/>
    <n v="1.9390370476804515"/>
    <n v="1.9390370476804515"/>
  </r>
  <r>
    <x v="0"/>
    <d v="2019-05-28T00:00:00"/>
    <d v="2026-05-28T00:00:00"/>
    <n v="69000"/>
    <s v="Each"/>
    <n v="69000"/>
    <s v="Box/Carton"/>
    <n v="3.45"/>
    <n v="17.305"/>
    <n v="100050"/>
    <s v="Health"/>
    <s v="DINJARTS6V-;26/06/2021"/>
    <s v="DINJARTS6V-;26/06/2028"/>
    <s v="ARTESUNATE 60 mg, poudre, fl +NaHCO3 5% 1ml +NaCl 0.9% 5ml(Guilin Pharmaceutical Co. Ltd,China):LA181129"/>
    <x v="104"/>
    <s v="26/06/2028"/>
    <d v="2028-06-26T00:00:00"/>
    <x v="3"/>
    <n v="1132520.9090909001"/>
    <n v="760"/>
    <n v="1.8277808236332125"/>
    <n v="1.8277808236332125"/>
  </r>
  <r>
    <x v="0"/>
    <d v="2019-05-28T00:00:00"/>
    <d v="2026-05-28T00:00:00"/>
    <n v="1770"/>
    <s v="Each"/>
    <n v="59"/>
    <s v="Box/Carton"/>
    <n v="1.4999999999999999E-2"/>
    <n v="7.9000000000000001E-2"/>
    <n v="496"/>
    <s v="Health"/>
    <s v="DORAARLU1TD1;31/01/2021"/>
    <s v="DORAARLU1TD1;31/01/2028"/>
    <s v="AL 20/120 mg, blister de 6 comp. disp., 5-14 kg(Ajanta pharma Limited,India):PA0479B"/>
    <x v="101"/>
    <s v="31/01/2028"/>
    <d v="2028-01-31T00:00:00"/>
    <x v="3"/>
    <n v="45469.090909090912"/>
    <n v="613"/>
    <n v="1.1678262955854126"/>
    <n v="1.1678262955854126"/>
  </r>
  <r>
    <x v="0"/>
    <d v="2019-05-28T00:00:00"/>
    <d v="2026-05-28T00:00:00"/>
    <n v="109200"/>
    <s v="Each"/>
    <n v="3640"/>
    <s v="Box/Carton"/>
    <n v="1.163"/>
    <n v="4.9029999999999996"/>
    <n v="52416"/>
    <s v="Health"/>
    <s v="DORAARLU2TD1;31/01/2021"/>
    <s v="DORAARLU2TD1;31/01/2028"/>
    <s v="AL 20/120 mg, blister de 12 comp. disp., 15-24 kg(Ajanta pharma Limited,India):PA0459B"/>
    <x v="102"/>
    <s v="31/01/2028"/>
    <d v="2028-01-31T00:00:00"/>
    <x v="3"/>
    <n v="41561.181818181816"/>
    <n v="613"/>
    <n v="78.823552572002285"/>
    <n v="78.823552572002285"/>
  </r>
  <r>
    <x v="0"/>
    <d v="2019-05-28T00:00:00"/>
    <d v="2026-05-28T00:00:00"/>
    <n v="109650"/>
    <s v="Each"/>
    <n v="2193"/>
    <s v="Bale/Bundle"/>
    <n v="70.176000000000002"/>
    <n v="240.70400000000001"/>
    <n v="254388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23"/>
    <s v="Each"/>
    <n v="23"/>
    <s v="None/Loose"/>
    <n v="1.4999999999999999E-2"/>
    <n v="0.05"/>
    <n v="53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14"/>
    <s v="Each"/>
    <n v="14"/>
    <s v="None/Loose"/>
    <n v="8.9999999999999993E-3"/>
    <n v="3.1E-2"/>
    <n v="32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432000"/>
    <s v="Each"/>
    <n v="3000"/>
    <s v="Box/Carton"/>
    <n v="1.296"/>
    <n v="7.0549999999999997"/>
    <n v="8340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0"/>
    <d v="2019-05-28T00:00:00"/>
    <d v="2026-05-28T00:00:00"/>
    <n v="432000"/>
    <s v="Each"/>
    <n v="3000"/>
    <s v="Box/Carton"/>
    <n v="1.296"/>
    <n v="7.0549999999999997"/>
    <n v="8340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0"/>
    <d v="2019-05-28T00:00:00"/>
    <d v="2026-05-28T00:00:00"/>
    <n v="423360"/>
    <s v="Each"/>
    <n v="2940"/>
    <s v="Box/Carton"/>
    <n v="1.27"/>
    <n v="6.9130000000000003"/>
    <n v="8173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0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437760"/>
    <s v="Each"/>
    <n v="3040"/>
    <s v="Box/Carton"/>
    <n v="1.3129999999999999"/>
    <n v="7.15"/>
    <n v="8451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434880"/>
    <s v="Each"/>
    <n v="3020"/>
    <s v="Box/Carton"/>
    <n v="1.296"/>
    <n v="7.1"/>
    <n v="8396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0"/>
    <d v="2019-05-28T00:00:00"/>
    <d v="2026-05-28T00:00:00"/>
    <n v="166800"/>
    <s v="Each"/>
    <n v="1668"/>
    <s v="Box/Carton"/>
    <n v="1.8009999999999999"/>
    <n v="11.494"/>
    <n v="68388"/>
    <s v="Health"/>
    <s v="SMSUCONDF1-;30/04/2020"/>
    <s v="SMSUCONDF1-;30/04/2027"/>
    <s v="PRESERVATIF FEMININ, lubrifié, 170 mm, u.u. (CUPID LTD,INDIA)"/>
    <x v="3"/>
    <s v="30/04/2027"/>
    <d v="2027-04-30T00:00:00"/>
    <x v="0"/>
    <n v="0"/>
    <n v="337"/>
    <n v="0"/>
    <n v="0"/>
  </r>
  <r>
    <x v="0"/>
    <d v="2019-05-28T00:00:00"/>
    <d v="2026-05-28T00:00:00"/>
    <n v="16000"/>
    <s v="Each"/>
    <n v="800"/>
    <s v="Box/Carton"/>
    <n v="9.4"/>
    <n v="17.600000000000001"/>
    <n v="3520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39.247751430907606"/>
    <n v="39.247751430907606"/>
  </r>
  <r>
    <x v="0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0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0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0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0"/>
    <d v="2019-05-28T00:00:00"/>
    <d v="2026-05-28T00:00:00"/>
    <n v="43100"/>
    <s v="Each"/>
    <n v="43100"/>
    <s v="None/Loose"/>
    <n v="0.40100000000000002"/>
    <n v="4.1589999999999998"/>
    <n v="3620"/>
    <s v="Health"/>
    <s v="SINSIVPP18-;28/02/2022"/>
    <s v="SINSIVPP18-;28/02/2029"/>
    <s v="CATHETER IV, site d'injection, u.u. 18 G [1,2 x 45 mm], vert(La-Med Healthcare Pvt. Ltd,India)"/>
    <x v="95"/>
    <s v="28/02/2029"/>
    <d v="2029-02-28T00:00:00"/>
    <x v="0"/>
    <n v="0"/>
    <n v="1007"/>
    <n v="0"/>
    <n v="0"/>
  </r>
  <r>
    <x v="0"/>
    <d v="2019-05-28T00:00:00"/>
    <d v="2026-05-28T00:00:00"/>
    <n v="66100"/>
    <s v="Each"/>
    <n v="66100"/>
    <s v="None/Loose"/>
    <n v="0.61299999999999999"/>
    <n v="6.3789999999999996"/>
    <n v="5552"/>
    <s v="Health"/>
    <s v="SINSIVPP20-;28/02/2022"/>
    <s v="SINSIVPP20-;28/02/2029"/>
    <s v="CATHETER IV, site d'injection, u.u. 20 G [1,0 x 32 mm], rose(La-Med Healthcare Pvt. Ltd,India)"/>
    <x v="90"/>
    <s v="28/02/2029"/>
    <d v="2029-02-28T00:00:00"/>
    <x v="0"/>
    <n v="0"/>
    <n v="1007"/>
    <n v="0"/>
    <n v="0"/>
  </r>
  <r>
    <x v="0"/>
    <d v="2019-05-28T00:00:00"/>
    <d v="2026-05-28T00:00:00"/>
    <n v="98100"/>
    <s v="Each"/>
    <n v="98100"/>
    <s v="None/Loose"/>
    <n v="0.873"/>
    <n v="9.4670000000000005"/>
    <n v="8240"/>
    <s v="Health"/>
    <s v="SINSIVPP22-;28/02/2022"/>
    <s v="SINSIVPP22-;28/02/2029"/>
    <s v="CATHETER IV, site d'injection, u.u. 22 G [0,8 x 25 mm] bleu(La-Med Healthcare Pvt. Ltd,India)"/>
    <x v="91"/>
    <s v="28/02/2029"/>
    <d v="2029-02-28T00:00:00"/>
    <x v="0"/>
    <n v="0"/>
    <n v="1007"/>
    <n v="0"/>
    <n v="0"/>
  </r>
  <r>
    <x v="0"/>
    <d v="2019-05-28T00:00:00"/>
    <d v="2026-05-28T00:00:00"/>
    <n v="102400"/>
    <s v="Each"/>
    <n v="1024"/>
    <s v="Box/Carton"/>
    <n v="1.0069999999999999"/>
    <n v="8.2029999999999994"/>
    <n v="3502"/>
    <s v="Health"/>
    <s v="SINSSYDL10-;31/10/2020"/>
    <s v="SINSSYDL10-;31/10/2027"/>
    <s v="SERINGUE, u.u., Luer, 10 ml(Suzhou Hengxiang Co Ltd,China)"/>
    <x v="96"/>
    <s v="31/10/2027"/>
    <d v="2027-10-31T00:00:00"/>
    <x v="0"/>
    <n v="0"/>
    <n v="521"/>
    <n v="0"/>
    <n v="0"/>
  </r>
  <r>
    <x v="0"/>
    <d v="2019-05-28T00:00:00"/>
    <d v="2026-05-28T00:00:00"/>
    <n v="10500"/>
    <s v="Each"/>
    <n v="210"/>
    <s v="Box/Carton"/>
    <n v="5.3999999999999999E-2"/>
    <n v="0.03"/>
    <n v="201"/>
    <s v="Health"/>
    <s v="ELABSLID1FT;31/10/2020"/>
    <s v="ELABSLID1FT;31/10/2027"/>
    <s v="LAME PORTE-OBJETS, dépolie, 76 x 26 mm,emballage tropicalisé(Ral Diagnostic)"/>
    <x v="97"/>
    <s v="31/10/2027"/>
    <d v="2027-10-31T00:00:00"/>
    <x v="0"/>
    <n v="0"/>
    <n v="521"/>
    <n v="0"/>
    <n v="0"/>
  </r>
  <r>
    <x v="0"/>
    <d v="2019-05-28T00:00:00"/>
    <d v="2026-05-28T00:00:00"/>
    <n v="810"/>
    <s v="Each"/>
    <n v="810"/>
    <s v="None/Loose"/>
    <n v="0.154"/>
    <n v="0.84199999999999997"/>
    <n v="4965"/>
    <s v="Health"/>
    <s v="SLASOILI2B5;28/02/2022"/>
    <s v="SLASOILI2B5;28/02/2029"/>
    <s v="HUILE IMMERSION, 250 ml, fl. compte-gouttes(Gainland Chemical CO UK.)"/>
    <x v="98"/>
    <s v="28/02/2029"/>
    <d v="2029-02-28T00:00:00"/>
    <x v="0"/>
    <n v="0"/>
    <n v="1007"/>
    <n v="0"/>
    <n v="0"/>
  </r>
  <r>
    <x v="0"/>
    <d v="2019-05-28T00:00:00"/>
    <d v="2026-05-28T00:00:00"/>
    <n v="58"/>
    <s v="Each"/>
    <n v="58"/>
    <s v="None/Loose"/>
    <n v="1.4999999999999999E-2"/>
    <n v="0.185"/>
    <n v="39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0"/>
    <d v="2019-05-28T00:00:00"/>
    <d v="2026-05-28T00:00:00"/>
    <n v="150"/>
    <s v="Each"/>
    <n v="150"/>
    <s v="None/Loose"/>
    <n v="3.7999999999999999E-2"/>
    <n v="0.46100000000000002"/>
    <n v="98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0"/>
    <d v="2019-05-28T00:00:00"/>
    <d v="2026-05-28T00:00:00"/>
    <n v="360"/>
    <s v="Each"/>
    <n v="360"/>
    <s v="None/Loose"/>
    <n v="9.0999999999999998E-2"/>
    <n v="1.107"/>
    <n v="234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0"/>
    <d v="2019-05-28T00:00:00"/>
    <d v="2026-05-28T00:00:00"/>
    <n v="390"/>
    <s v="Each"/>
    <n v="390"/>
    <s v="None/Loose"/>
    <n v="9.9000000000000005E-2"/>
    <n v="1.2"/>
    <n v="254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0"/>
    <d v="2019-05-28T00:00:00"/>
    <d v="2026-05-28T00:00:00"/>
    <n v="30"/>
    <s v="Each"/>
    <n v="30"/>
    <s v="None/Loose"/>
    <n v="8.0000000000000002E-3"/>
    <n v="9.1999999999999998E-2"/>
    <n v="20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0"/>
    <d v="2019-05-28T00:00:00"/>
    <d v="2026-05-28T00:00:00"/>
    <n v="36500"/>
    <s v="Each"/>
    <n v="730"/>
    <s v="Box/Carton"/>
    <n v="0.188"/>
    <n v="0.105"/>
    <n v="699"/>
    <s v="Health"/>
    <s v="ELABSLID1--;31/10/2020"/>
    <s v="ELABSLID1--;31/10/2027"/>
    <s v="LAME PORTE-OBJETS, 76 x 26 mm, épaisseur 1-1,2 mm(Ral Diagnostic)"/>
    <x v="105"/>
    <s v="31/10/2027"/>
    <d v="2027-10-31T00:00:00"/>
    <x v="0"/>
    <n v="0"/>
    <n v="521"/>
    <n v="0"/>
    <n v="0"/>
  </r>
  <r>
    <x v="0"/>
    <d v="2019-05-28T00:00:00"/>
    <d v="2026-05-28T00:00:00"/>
    <n v="532825"/>
    <s v="Each"/>
    <n v="21313"/>
    <s v="Box/Carton"/>
    <n v="6.3940000000000001"/>
    <n v="19.375"/>
    <n v="90580"/>
    <s v="Health"/>
    <s v="SSDTMALP25T2;31/01/2021"/>
    <s v="SSDTMALP25T2;31/01/2028"/>
    <s v="TEST MALARIA Pf [HRP-2] Ag RDT, st,1test [CareStart RMOM-02571](Access Bio,Inc.USA):MO18H68"/>
    <x v="100"/>
    <s v="31/01/2028"/>
    <d v="2028-01-31T00:00:00"/>
    <x v="3"/>
    <n v="735190.90909090894"/>
    <n v="613"/>
    <n v="21.742311829951408"/>
    <n v="21.742311829951408"/>
  </r>
  <r>
    <x v="0"/>
    <d v="2019-05-28T00:00:00"/>
    <d v="2026-05-28T00:00:00"/>
    <n v="528775"/>
    <s v="Each"/>
    <n v="21151"/>
    <s v="Box/Carton"/>
    <n v="6.3449999999999998"/>
    <n v="19.228000000000002"/>
    <n v="89892"/>
    <s v="Health"/>
    <s v="SSDTMALP25T2;30/04/2021"/>
    <s v="SSDTMALP25T2;30/04/2028"/>
    <s v="TEST MALARIA Pf [HRP-2] Ag RDT, st,1test [CareStart RMOM-02571](Access Bio,Inc.USA):MO18L68"/>
    <x v="100"/>
    <s v="30/04/2028"/>
    <d v="2028-04-30T00:00:00"/>
    <x v="3"/>
    <n v="735190.90909090894"/>
    <n v="703"/>
    <n v="21.577048633008129"/>
    <n v="21.577048633008129"/>
  </r>
  <r>
    <x v="0"/>
    <d v="2019-05-28T00:00:00"/>
    <d v="2026-05-28T00:00:00"/>
    <n v="530875"/>
    <s v="Each"/>
    <n v="21235"/>
    <s v="Box/Carton"/>
    <n v="6.7949999999999999"/>
    <n v="19.305"/>
    <n v="90249"/>
    <s v="Health"/>
    <s v="SSDTMALP25T2;30/04/2021"/>
    <s v="SSDTMALP25T2;30/04/2028"/>
    <s v="TEST MALARIA Pf [HRP-2] Ag RDT, st,1test [CareStart RMOM-02571](Access Bio,Inc.USA):MO18L67"/>
    <x v="100"/>
    <s v="30/04/2028"/>
    <d v="2028-04-30T00:00:00"/>
    <x v="3"/>
    <n v="735190.90909090894"/>
    <n v="703"/>
    <n v="21.662740661052791"/>
    <n v="21.662740661052791"/>
  </r>
  <r>
    <x v="0"/>
    <d v="2019-05-28T00:00:00"/>
    <d v="2026-05-28T00:00:00"/>
    <n v="526625"/>
    <s v="Each"/>
    <n v="21065"/>
    <s v="Box/Carton"/>
    <n v="6.7409999999999997"/>
    <n v="19.149999999999999"/>
    <n v="89526"/>
    <s v="Health"/>
    <s v="SSDTMALP25T2;30/04/2021"/>
    <s v="SSDTMALP25T2;30/04/2028"/>
    <s v="TEST MALARIA Pf [HRP-2] Ag RDT, st,1test [CareStart RMOM-02571](Access Bio,Inc.USA):MO18L69"/>
    <x v="100"/>
    <s v="30/04/2028"/>
    <d v="2028-04-30T00:00:00"/>
    <x v="3"/>
    <n v="735190.90909090894"/>
    <n v="703"/>
    <n v="21.489316318581448"/>
    <n v="21.489316318581448"/>
  </r>
  <r>
    <x v="0"/>
    <d v="2019-05-28T00:00:00"/>
    <d v="2026-05-28T00:00:00"/>
    <n v="31350"/>
    <s v="Each"/>
    <n v="1254"/>
    <s v="Box/Carton"/>
    <n v="0.40100000000000002"/>
    <n v="1.389"/>
    <n v="5330"/>
    <s v="Health"/>
    <s v="SSDTMALP25T2;30/04/2021"/>
    <s v="SSDTMALP25T2;30/04/2028"/>
    <s v="TEST MALARIA Pf [HRP-2] Ag RDT, st,1test [CareStart RMOM-02571](Access Bio,Inc.USA):MO18L66"/>
    <x v="100"/>
    <s v="30/04/2028"/>
    <d v="2028-04-30T00:00:00"/>
    <x v="3"/>
    <n v="735190.90909090894"/>
    <n v="703"/>
    <n v="1.2792595615239086"/>
    <n v="1.2792595615239086"/>
  </r>
  <r>
    <x v="0"/>
    <d v="2019-05-28T00:00:00"/>
    <d v="2026-05-28T00:00:00"/>
    <n v="5525"/>
    <s v="Each"/>
    <n v="221"/>
    <s v="Box/Carton"/>
    <n v="6.6000000000000003E-2"/>
    <n v="0.2"/>
    <n v="939"/>
    <s v="Health"/>
    <s v="SSDTMALP25T2;30/04/2021"/>
    <s v="SSDTMALP25T2;30/04/2028"/>
    <s v="TEST MALARIA Pf [HRP-2] Ag RDT, st,1test [CareStart RMOM-02571](Access Bio,Inc.USA):MO18L70"/>
    <x v="100"/>
    <s v="30/04/2028"/>
    <d v="2028-04-30T00:00:00"/>
    <x v="3"/>
    <n v="735190.90909090894"/>
    <n v="703"/>
    <n v="0.22545164521274627"/>
    <n v="0.22545164521274627"/>
  </r>
  <r>
    <x v="0"/>
    <d v="2019-05-28T00:00:00"/>
    <d v="2026-05-28T00:00:00"/>
    <n v="131025"/>
    <s v="Each"/>
    <n v="5241"/>
    <s v="Box/Carton"/>
    <n v="1.5720000000000001"/>
    <n v="4.7649999999999997"/>
    <n v="22274"/>
    <s v="Health"/>
    <s v="SSDTMALP25T2;31/01/2021"/>
    <s v="SSDTMALP25T2;31/01/2028"/>
    <s v="TEST MALARIA Pf [HRP-2] Ag RDT, st,1test [CareStart RMOM-02571](Access Bio,Inc.USA):MO18H69"/>
    <x v="100"/>
    <s v="31/01/2028"/>
    <d v="2028-01-31T00:00:00"/>
    <x v="3"/>
    <n v="735190.90909090894"/>
    <n v="613"/>
    <n v="5.3465704640724123"/>
    <n v="5.3465704640724123"/>
  </r>
  <r>
    <x v="0"/>
    <d v="2019-05-28T00:00:00"/>
    <d v="2026-05-28T00:00:00"/>
    <n v="229500"/>
    <s v="Each"/>
    <n v="9180"/>
    <s v="Box/Carton"/>
    <n v="2.754"/>
    <n v="8.3450000000000006"/>
    <n v="39015"/>
    <s v="Health"/>
    <s v="SSDTMALP25T2;31/01/2021"/>
    <s v="SSDTMALP25T2;31/01/2028"/>
    <s v="TEST MALARIA Pf [HRP-2] Ag RDT, st,1test [CareStart RMOM-02571](Access Bio,Inc.USA):MO18H61"/>
    <x v="100"/>
    <s v="31/01/2028"/>
    <d v="2028-01-31T00:00:00"/>
    <x v="3"/>
    <n v="735190.90909090894"/>
    <n v="613"/>
    <n v="9.3649144934525363"/>
    <n v="9.3649144934525363"/>
  </r>
  <r>
    <x v="0"/>
    <d v="2019-05-28T00:00:00"/>
    <d v="2026-05-28T00:00:00"/>
    <n v="188025"/>
    <s v="Each"/>
    <n v="7521"/>
    <s v="Box/Carton"/>
    <n v="2.2559999999999998"/>
    <n v="6.8369999999999997"/>
    <n v="31964"/>
    <s v="Health"/>
    <s v="SSDTMALP25T2;31/01/2021"/>
    <s v="SSDTMALP25T2;31/01/2028"/>
    <s v="TEST MALARIA Pf [HRP-2] Ag RDT, st,1test [CareStart RMOM-02571](Access Bio,Inc.USA):MO18H66"/>
    <x v="100"/>
    <s v="31/01/2028"/>
    <d v="2028-01-31T00:00:00"/>
    <x v="3"/>
    <n v="735190.90909090894"/>
    <n v="613"/>
    <n v="7.6724969395704274"/>
    <n v="7.6724969395704274"/>
  </r>
  <r>
    <x v="0"/>
    <d v="2019-05-28T00:00:00"/>
    <d v="2026-05-28T00:00:00"/>
    <n v="243025"/>
    <s v="Each"/>
    <n v="9721"/>
    <s v="Box/Carton"/>
    <n v="2.9159999999999999"/>
    <n v="8.8369999999999997"/>
    <n v="41314"/>
    <s v="Health"/>
    <s v="SSDTMALP25T2;31/01/2021"/>
    <s v="SSDTMALP25T2;31/01/2028"/>
    <s v="TEST MALARIA Pf [HRP-2] Ag RDT, st,1test [CareStart RMOM-02571](Access Bio,Inc.USA):MO18H67"/>
    <x v="100"/>
    <s v="31/01/2028"/>
    <d v="2028-01-31T00:00:00"/>
    <x v="3"/>
    <n v="735190.90909090894"/>
    <n v="613"/>
    <n v="9.9168119597878128"/>
    <n v="9.9168119597878128"/>
  </r>
  <r>
    <x v="0"/>
    <d v="2019-05-28T00:00:00"/>
    <d v="2026-05-28T00:00:00"/>
    <n v="514600"/>
    <s v="Each"/>
    <n v="20584"/>
    <s v="Box/Carton"/>
    <n v="6.1749999999999998"/>
    <n v="18.713000000000001"/>
    <n v="87482"/>
    <s v="Health"/>
    <s v="SSDTMALP25T2;31/01/2021"/>
    <s v="SSDTMALP25T2;31/01/2028"/>
    <s v="TEST MALARIA Pf [HRP-2] Ag RDT, st,1test [CareStart RMOM-02571](Access Bio,Inc.USA):MO18H64"/>
    <x v="100"/>
    <s v="31/01/2028"/>
    <d v="2028-01-31T00:00:00"/>
    <x v="3"/>
    <n v="735190.90909090894"/>
    <n v="613"/>
    <n v="20.998627443706646"/>
    <n v="20.998627443706646"/>
  </r>
  <r>
    <x v="0"/>
    <d v="2019-05-28T00:00:00"/>
    <d v="2026-05-28T00:00:00"/>
    <n v="535625"/>
    <s v="Each"/>
    <n v="21425"/>
    <s v="Box/Carton"/>
    <n v="6.8559999999999999"/>
    <n v="19.477"/>
    <n v="91056"/>
    <s v="Health"/>
    <s v="SSDTMALP25T2;31/01/2021"/>
    <s v="SSDTMALP25T2;31/01/2028"/>
    <s v="TEST MALARIA Pf [HRP-2] Ag RDT, st,1test [CareStart RMOM-02571](Access Bio,Inc.USA):MO18H65"/>
    <x v="100"/>
    <s v="31/01/2028"/>
    <d v="2028-01-31T00:00:00"/>
    <x v="3"/>
    <n v="735190.90909090894"/>
    <n v="613"/>
    <n v="21.856567867344292"/>
    <n v="21.856567867344292"/>
  </r>
  <r>
    <x v="0"/>
    <d v="2019-05-28T00:00:00"/>
    <d v="2026-05-28T00:00:00"/>
    <n v="511650"/>
    <s v="Each"/>
    <n v="20466"/>
    <s v="Box/Carton"/>
    <n v="6.5490000000000004"/>
    <n v="18.605"/>
    <n v="86981"/>
    <s v="Health"/>
    <s v="SSDTMALP25T2;31/01/2021"/>
    <s v="SSDTMALP25T2;31/01/2028"/>
    <s v="TEST MALARIA Pf [HRP-2] Ag RDT, st,1test [CareStart RMOM-02571](Access Bio,Inc.USA):MO18H63"/>
    <x v="100"/>
    <s v="31/01/2028"/>
    <d v="2028-01-31T00:00:00"/>
    <x v="3"/>
    <n v="735190.90909090894"/>
    <n v="613"/>
    <n v="20.878250547167713"/>
    <n v="20.878250547167713"/>
  </r>
  <r>
    <x v="0"/>
    <d v="2019-05-28T00:00:00"/>
    <d v="2026-05-28T00:00:00"/>
    <n v="24060"/>
    <s v="Each"/>
    <n v="1203"/>
    <s v="Box/Carton"/>
    <n v="13.834"/>
    <n v="26.779"/>
    <n v="4331"/>
    <s v="Health"/>
    <s v="DINFDEXT5FBF5;15/09/2021"/>
    <s v="DINFDEXT5FBF5;15/09/2028"/>
    <s v="GLUCOSE, 5%, 500 ml, poche souple, sans PVC(Shijiazhuang No 4 Pharmqceutical Co.Ltd,China):1809161901"/>
    <x v="88"/>
    <s v="15/09/2028"/>
    <d v="2028-09-15T00:00:00"/>
    <x v="3"/>
    <n v="12230"/>
    <n v="841"/>
    <n v="59.018806214227311"/>
    <n v="59.018806214227311"/>
  </r>
  <r>
    <x v="0"/>
    <d v="2019-05-28T00:00:00"/>
    <d v="2026-05-28T00:00:00"/>
    <n v="5940"/>
    <s v="Each"/>
    <n v="297"/>
    <s v="Box/Carton"/>
    <n v="3.415"/>
    <n v="6.6109999999999998"/>
    <n v="1069"/>
    <s v="Health"/>
    <s v="DINFDEXT5FBF5;15/09/2021"/>
    <s v="DINFDEXT5FBF5;15/09/2028"/>
    <s v="GLUCOSE, 5%, 500 ml, poche souple, sans PVC(Shijiazhuang No 4 Pharmqceutical Co.Ltd,China):1809161902"/>
    <x v="88"/>
    <s v="15/09/2028"/>
    <d v="2028-09-15T00:00:00"/>
    <x v="3"/>
    <n v="12230"/>
    <n v="841"/>
    <n v="14.570727718724449"/>
    <n v="14.570727718724449"/>
  </r>
  <r>
    <x v="0"/>
    <d v="2019-05-28T00:00:00"/>
    <d v="2026-05-28T00:00:00"/>
    <n v="600"/>
    <s v="Each"/>
    <n v="12"/>
    <s v="Bale/Bundle"/>
    <n v="0.38400000000000001"/>
    <n v="1.3169999999999999"/>
    <n v="1392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14"/>
    <s v="Each"/>
    <n v="14"/>
    <s v="None/Loose"/>
    <n v="8.9999999999999993E-3"/>
    <n v="3.1E-2"/>
    <n v="32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550"/>
    <s v="Each"/>
    <n v="11"/>
    <s v="Bale/Bundle"/>
    <n v="0.35199999999999998"/>
    <n v="1.2070000000000001"/>
    <n v="1276"/>
    <s v="Health"/>
    <s v=""/>
    <s v=""/>
    <s v="Moustiquaire Imprégné à Longue Durée d'Action(MILDA)"/>
    <x v="4"/>
    <s v=""/>
    <s v=""/>
    <x v="0"/>
    <n v="0"/>
    <n v="0"/>
    <n v="0"/>
    <n v="0"/>
  </r>
  <r>
    <x v="0"/>
    <d v="2019-05-28T00:00:00"/>
    <d v="2026-05-28T00:00:00"/>
    <n v="50"/>
    <s v="Each"/>
    <n v="1"/>
    <s v="Bale/Bundle"/>
    <n v="3.2000000000000001E-2"/>
    <n v="0.11"/>
    <n v="116"/>
    <s v="Health"/>
    <s v=""/>
    <s v=""/>
    <s v="Moustiquaire Imprégné à Longue Durée d'Action(MILDA)"/>
    <x v="4"/>
    <s v=""/>
    <s v=""/>
    <x v="0"/>
    <n v="0"/>
    <n v="0"/>
    <n v="0"/>
    <n v="0"/>
  </r>
  <r>
    <x v="1"/>
    <d v="2019-05-28T00:00:00"/>
    <d v="2026-05-28T00:00:00"/>
    <n v="1006"/>
    <s v="Each"/>
    <n v="1006"/>
    <s v="None/Loose"/>
    <n v="0.52300000000000002"/>
    <n v="2.8969999999999998"/>
    <n v="1720"/>
    <s v="Health"/>
    <s v="SDRECOTW5R-;28/02/2022"/>
    <s v="SDRECOTW5R-;28/02/2029"/>
    <s v="COTON hydrophile, rouleau, 500 g(Suzhou Hengxiang Imp. &amp; Exp.Co, Ltd, china)"/>
    <x v="0"/>
    <s v="28/02/2029"/>
    <d v="2029-02-28T00:00:00"/>
    <x v="0"/>
    <n v="0"/>
    <n v="1007"/>
    <n v="0"/>
    <n v="0"/>
  </r>
  <r>
    <x v="1"/>
    <d v="2019-05-28T00:00:00"/>
    <d v="2026-05-28T00:00:00"/>
    <n v="194688"/>
    <s v="Each"/>
    <n v="1352"/>
    <s v="Box/Carton"/>
    <n v="0.58399999999999996"/>
    <n v="3.1789999999999998"/>
    <n v="3759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1"/>
    <d v="2019-05-28T00:00:00"/>
    <d v="2026-05-28T00:00:00"/>
    <n v="5760"/>
    <s v="Each"/>
    <n v="40"/>
    <s v="Box/Carton"/>
    <n v="1.7000000000000001E-2"/>
    <n v="9.4E-2"/>
    <n v="111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16200"/>
    <s v="Each"/>
    <n v="162"/>
    <s v="Box/Carton"/>
    <n v="0.17499999999999999"/>
    <n v="1.1160000000000001"/>
    <n v="6642"/>
    <s v="Health"/>
    <s v="SMSUCONDF1-;30/04/2020"/>
    <s v="SMSUCONDF1-;30/04/2027"/>
    <s v="PRESERVATIF FEMININ, lubrifié, 170 mm, u.u. (CUPID LTD,INDIA)"/>
    <x v="3"/>
    <s v="30/04/2027"/>
    <d v="2027-04-30T00:00:00"/>
    <x v="0"/>
    <n v="0"/>
    <n v="337"/>
    <n v="0"/>
    <n v="0"/>
  </r>
  <r>
    <x v="1"/>
    <d v="2019-05-28T00:00:00"/>
    <d v="2026-05-28T00:00:00"/>
    <n v="1130"/>
    <s v="Each"/>
    <n v="1130"/>
    <s v="None/Loose"/>
    <n v="0.27100000000000002"/>
    <n v="0.56499999999999995"/>
    <n v="4251"/>
    <s v="Health"/>
    <s v=""/>
    <s v=""/>
    <s v="ETHANOL, dénaturé, 70%, 1 l, fl."/>
    <x v="4"/>
    <s v=""/>
    <s v=""/>
    <x v="0"/>
    <n v="0"/>
    <n v="0"/>
    <n v="0"/>
    <n v="0"/>
  </r>
  <r>
    <x v="1"/>
    <d v="2019-05-28T00:00:00"/>
    <d v="2026-05-28T00:00:00"/>
    <n v="14040"/>
    <s v="Each"/>
    <n v="234"/>
    <s v="Box/Carton"/>
    <n v="8.0000000000000002E-3"/>
    <n v="4.2000000000000003E-2"/>
    <n v="468"/>
    <s v="Health"/>
    <s v="DORALAMI1T-;30/06/2019"/>
    <s v="DORALAMI1T-;30/06/2026"/>
    <s v="LAMIVUDINE [3TC], 150 mg, comp.(MYLAN LAB LTD,INDIA)"/>
    <x v="5"/>
    <s v="30/06/2026"/>
    <d v="2026-06-30T00:00:00"/>
    <x v="0"/>
    <n v="0"/>
    <n v="33"/>
    <n v="0"/>
    <n v="0"/>
  </r>
  <r>
    <x v="1"/>
    <d v="2019-05-28T00:00:00"/>
    <d v="2026-05-28T00:00:00"/>
    <n v="2520"/>
    <s v="Each"/>
    <n v="42"/>
    <s v="Box/Carton"/>
    <n v="2E-3"/>
    <n v="8.0000000000000002E-3"/>
    <n v="84"/>
    <s v="Health"/>
    <s v="DORALAMI1T-;29/02/2020"/>
    <s v="DORALAMI1T-;01/03/2027"/>
    <s v="LAMIVUDINE [3TC], 150 mg, comp.(MYLAN LAB LTD,INDIA)"/>
    <x v="5"/>
    <s v="01/03/2027"/>
    <d v="2027-03-01T00:00:00"/>
    <x v="0"/>
    <n v="0"/>
    <n v="277"/>
    <n v="0"/>
    <n v="0"/>
  </r>
  <r>
    <x v="1"/>
    <d v="2019-05-28T00:00:00"/>
    <d v="2026-05-28T00:00:00"/>
    <n v="9511"/>
    <s v="Each"/>
    <n v="95"/>
    <s v="Box/Carton"/>
    <n v="0.17100000000000001"/>
    <n v="0.47599999999999998"/>
    <n v="6087"/>
    <s v="Health"/>
    <s v="DINJSTRE1V-;30/11/2019"/>
    <s v="DINJSTRE1V-;30/11/2026"/>
    <s v="STREPTOMYCINE sulfate, éq. 1 g base, poudre, fl.(Lab. REIG JOFRE, SPAIN)"/>
    <x v="6"/>
    <s v="30/11/2026"/>
    <d v="2026-11-30T00:00:00"/>
    <x v="1"/>
    <n v="1736.3636363636363"/>
    <n v="186"/>
    <n v="164.32617801047121"/>
    <n v="164.32617801047121"/>
  </r>
  <r>
    <x v="1"/>
    <d v="2019-05-28T00:00:00"/>
    <d v="2026-05-28T00:00:00"/>
    <n v="32600"/>
    <s v="Each"/>
    <n v="326"/>
    <s v="Box/Carton"/>
    <n v="0.58699999999999997"/>
    <n v="1.63"/>
    <n v="20864"/>
    <s v="Health"/>
    <s v="DINJSTRE1V-;31/05/2021"/>
    <s v="DINJSTRE1V-;31/05/2028"/>
    <s v="STREPTOMYCINE sulfate, éq. 1 g base, poudre, fl.(Lab. REIG JOFRE, SPAIN)"/>
    <x v="6"/>
    <s v="31/05/2028"/>
    <d v="2028-05-31T00:00:00"/>
    <x v="1"/>
    <n v="1736.3636363636363"/>
    <n v="734"/>
    <n v="563.24607329842934"/>
    <n v="563.24607329842934"/>
  </r>
  <r>
    <x v="1"/>
    <d v="2019-05-28T00:00:00"/>
    <d v="2026-05-28T00:00:00"/>
    <n v="780"/>
    <s v="Each"/>
    <n v="13"/>
    <s v="Box/Carton"/>
    <n v="2E-3"/>
    <n v="5.0000000000000001E-3"/>
    <n v="910"/>
    <s v="Health"/>
    <s v="DORADARU6T-;30/11/2019"/>
    <s v="DORADARU6T-;30/11/2026"/>
    <s v="DARUNAVIR éthanolate [DRV], éq. 600 mg base, comp.(Janssen Ortho LLC,Italy)"/>
    <x v="7"/>
    <s v="30/11/2026"/>
    <d v="2026-11-30T00:00:00"/>
    <x v="0"/>
    <n v="0"/>
    <n v="186"/>
    <n v="0"/>
    <n v="0"/>
  </r>
  <r>
    <x v="1"/>
    <d v="2019-05-28T00:00:00"/>
    <d v="2026-05-28T00:00:00"/>
    <n v="136416"/>
    <s v="Each"/>
    <n v="203"/>
    <s v="Box/Carton"/>
    <n v="0.13"/>
    <n v="0.48699999999999999"/>
    <n v="2590"/>
    <s v="Health"/>
    <s v="DORAISON3T1;31/12/2020"/>
    <s v="DORAISON3T1;31/12/2027"/>
    <s v="ISONIAZIDE [H], 300 mg, comp., blister(OXALIS LABS, INDIA)"/>
    <x v="8"/>
    <s v="31/12/2027"/>
    <d v="2027-12-31T00:00:00"/>
    <x v="1"/>
    <n v="25605.8181818181"/>
    <n v="582"/>
    <n v="159.82617586912116"/>
    <n v="159.82617586912116"/>
  </r>
  <r>
    <x v="1"/>
    <d v="2019-05-28T00:00:00"/>
    <d v="2026-05-28T00:00:00"/>
    <n v="8064"/>
    <s v="Each"/>
    <n v="12"/>
    <s v="Box/Carton"/>
    <n v="8.0000000000000002E-3"/>
    <n v="3.9E-2"/>
    <n v="156"/>
    <s v="Health"/>
    <s v="DORAPYRZ4T1;30/09/2020"/>
    <s v="DORAPYRZ4T1;30/09/2027"/>
    <s v="PYRAZINAMIDE [Z], 400 mg, comp., blister(OXALIS LABS.BADDI, INDIA)"/>
    <x v="9"/>
    <s v="30/09/2027"/>
    <d v="2027-09-30T00:00:00"/>
    <x v="1"/>
    <n v="18064"/>
    <n v="490"/>
    <n v="13.392382639503985"/>
    <n v="13.392382639503985"/>
  </r>
  <r>
    <x v="1"/>
    <d v="2019-05-28T00:00:00"/>
    <d v="2026-05-28T00:00:00"/>
    <n v="402528"/>
    <s v="Each"/>
    <n v="599"/>
    <s v="Box/Carton"/>
    <n v="0.34899999999999998"/>
    <n v="1.8160000000000001"/>
    <n v="11782"/>
    <s v="Health"/>
    <s v="DORAHRIF7T1;31/05/2020"/>
    <s v="DORAHRIF7T1;31/05/2027"/>
    <s v="H 75 mg / R 150 mg, comp., blister(LUPIN LTD, INDIA)"/>
    <x v="10"/>
    <s v="31/05/2027"/>
    <d v="2027-05-31T00:00:00"/>
    <x v="1"/>
    <n v="405643.63636363635"/>
    <n v="368"/>
    <n v="29.76957831325301"/>
    <n v="29.76957831325301"/>
  </r>
  <r>
    <x v="1"/>
    <d v="2019-05-28T00:00:00"/>
    <d v="2026-05-28T00:00:00"/>
    <n v="222852"/>
    <s v="Each"/>
    <n v="2653"/>
    <s v="Box/Carton"/>
    <n v="0.193"/>
    <n v="1.0049999999999999"/>
    <n v="6394"/>
    <s v="Health"/>
    <s v="DORAHRIF5TD1;30/06/2019"/>
    <s v="DORAHRIF5TD1;30/06/2026"/>
    <s v="H 50 mg / R 75 mg, comp. disp., blister(LUPIN LTD, INDIA)"/>
    <x v="11"/>
    <s v="30/06/2026"/>
    <d v="2026-06-30T00:00:00"/>
    <x v="1"/>
    <n v="20312.727272727272"/>
    <n v="33"/>
    <n v="329.13157894736844"/>
    <n v="33"/>
  </r>
  <r>
    <x v="1"/>
    <d v="2019-05-28T00:00:00"/>
    <d v="2026-05-28T00:00:00"/>
    <n v="66528"/>
    <s v="Each"/>
    <n v="792"/>
    <s v="Box/Carton"/>
    <n v="0.06"/>
    <n v="0.29299999999999998"/>
    <n v="2336"/>
    <s v="Health"/>
    <s v="DORAHZRI5TD1;30/06/2019"/>
    <s v="DORAHZRI5TD1;30/06/2026"/>
    <s v="H 50 mg / Z 150 mg / R 75 mg, comp. disp., blister(LUPIN LTD, INDIA)"/>
    <x v="12"/>
    <s v="30/06/2026"/>
    <d v="2026-06-30T00:00:00"/>
    <x v="1"/>
    <n v="80889.4545454545"/>
    <n v="33"/>
    <n v="24.673673610674065"/>
    <n v="24.673673610674065"/>
  </r>
  <r>
    <x v="1"/>
    <d v="2019-05-28T00:00:00"/>
    <d v="2026-05-28T00:00:00"/>
    <n v="1900"/>
    <s v="Each"/>
    <n v="19"/>
    <s v="Box/Carton"/>
    <n v="1.0999999999999999E-2"/>
    <n v="4.3999999999999997E-2"/>
    <n v="67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100"/>
    <s v="Each"/>
    <n v="1"/>
    <s v="Box/Carton"/>
    <n v="1E-3"/>
    <n v="2E-3"/>
    <n v="4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3100"/>
    <s v="Each"/>
    <n v="31"/>
    <s v="Box/Carton"/>
    <n v="1.7999999999999999E-2"/>
    <n v="7.2999999999999995E-2"/>
    <n v="109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21800"/>
    <s v="Each"/>
    <n v="38"/>
    <s v="Box/Carton"/>
    <n v="0.13"/>
    <n v="0.51"/>
    <n v="76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28000"/>
    <s v="Each"/>
    <n v="280"/>
    <s v="Box/Carton"/>
    <n v="0.16700000000000001"/>
    <n v="0.65500000000000003"/>
    <n v="980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29700"/>
    <s v="Each"/>
    <n v="297"/>
    <s v="Box/Carton"/>
    <n v="0.17699999999999999"/>
    <n v="0.69499999999999995"/>
    <n v="1040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1500"/>
    <s v="Each"/>
    <n v="15"/>
    <s v="Box/Carton"/>
    <n v="8.9999999999999993E-3"/>
    <n v="3.5000000000000003E-2"/>
    <n v="5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1000"/>
    <s v="Each"/>
    <n v="10"/>
    <s v="Box/Carton"/>
    <n v="6.0000000000000001E-3"/>
    <n v="2.3E-2"/>
    <n v="35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7200"/>
    <s v="Each"/>
    <n v="72"/>
    <s v="Box/Carton"/>
    <n v="4.2999999999999997E-2"/>
    <n v="0.16800000000000001"/>
    <n v="252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1100"/>
    <s v="Each"/>
    <n v="11"/>
    <s v="Box/Carton"/>
    <n v="7.0000000000000001E-3"/>
    <n v="2.5999999999999999E-2"/>
    <n v="39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9800"/>
    <s v="Each"/>
    <n v="98"/>
    <s v="Box/Carton"/>
    <n v="5.8000000000000003E-2"/>
    <n v="0.22900000000000001"/>
    <n v="343"/>
    <s v="Health"/>
    <s v="SMSUGLOE1M-;31/05/2021"/>
    <s v="SMSUGLOE1M-;31/05/2028"/>
    <s v="GANT D'EXAMEN, latex, u.u. non stérile, moyen(QUALATEX POLYPHARM, MALAYSIA)"/>
    <x v="13"/>
    <s v="31/05/2028"/>
    <d v="2028-05-31T00:00:00"/>
    <x v="0"/>
    <n v="0"/>
    <n v="734"/>
    <n v="0"/>
    <n v="0"/>
  </r>
  <r>
    <x v="1"/>
    <d v="2019-05-28T00:00:00"/>
    <d v="2026-05-28T00:00:00"/>
    <n v="705120"/>
    <s v="Each"/>
    <n v="5876"/>
    <s v="Box/Carton"/>
    <n v="1.528"/>
    <n v="4.1130000000000004"/>
    <n v="105768"/>
    <s v="Health"/>
    <s v="DORALPVR5T-;31/07/2019"/>
    <s v="DORALPVR5T-;31/07/2026"/>
    <s v="LPV 200 mg / r 50 mg, comp.(MYLAN LAB LTD,INDIA)"/>
    <x v="14"/>
    <s v="31/07/2026"/>
    <d v="2026-07-31T00:00:00"/>
    <x v="2"/>
    <n v="328581.81818181818"/>
    <n v="64"/>
    <n v="64.378486055776889"/>
    <n v="64"/>
  </r>
  <r>
    <x v="1"/>
    <d v="2019-05-28T00:00:00"/>
    <d v="2026-05-28T00:00:00"/>
    <n v="407760"/>
    <s v="Each"/>
    <n v="3398"/>
    <s v="Box/Carton"/>
    <n v="0.88300000000000001"/>
    <n v="2.379"/>
    <n v="61164"/>
    <s v="Health"/>
    <s v="DORALPVR5T-;31/07/2019"/>
    <s v="DORALPVR5T-;31/07/2026"/>
    <s v="LPV 200 mg / r 50 mg, comp.(MYLAN LAB LTD,INDIA)"/>
    <x v="14"/>
    <s v="31/07/2026"/>
    <d v="2026-07-31T00:00:00"/>
    <x v="2"/>
    <n v="328581.81818181818"/>
    <n v="64"/>
    <n v="37.229083665338649"/>
    <n v="37.229083665338649"/>
  </r>
  <r>
    <x v="1"/>
    <d v="2019-05-28T00:00:00"/>
    <d v="2026-05-28T00:00:00"/>
    <n v="600"/>
    <s v="Each"/>
    <n v="20"/>
    <s v="Box/Carton"/>
    <n v="2E-3"/>
    <n v="7.0000000000000001E-3"/>
    <n v="105"/>
    <s v="Health"/>
    <s v="DORATEEM1T-;30/06/2020"/>
    <s v="DORATEEM1T-;30/06/2027"/>
    <s v="TDF 300 mg / FTC 200 mg, comp.(MYLAN LAB LTD,INDIA)"/>
    <x v="15"/>
    <s v="30/06/2027"/>
    <d v="2027-06-30T00:00:00"/>
    <x v="2"/>
    <n v="106150.90909090909"/>
    <n v="398"/>
    <n v="0.16956990904886696"/>
    <n v="0.16956990904886696"/>
  </r>
  <r>
    <x v="1"/>
    <d v="2019-05-28T00:00:00"/>
    <d v="2026-05-28T00:00:00"/>
    <n v="92880"/>
    <s v="Each"/>
    <n v="1548"/>
    <s v="Box/Carton"/>
    <n v="9.2999999999999999E-2"/>
    <n v="0.36699999999999999"/>
    <n v="8669"/>
    <s v="Health"/>
    <s v="DORAYIDO3T-;31/05/2021"/>
    <s v="DORAYIDO3T-;31/05/2028"/>
    <s v="ZIDOVUDINE [AZT], 300 mg, comp.(MYLAN LAB LTD,INDIA)"/>
    <x v="16"/>
    <s v="31/05/2028"/>
    <d v="2028-05-31T00:00:00"/>
    <x v="0"/>
    <n v="0"/>
    <n v="734"/>
    <n v="0"/>
    <n v="0"/>
  </r>
  <r>
    <x v="1"/>
    <d v="2019-05-28T00:00:00"/>
    <d v="2026-05-28T00:00:00"/>
    <n v="115"/>
    <s v="Each"/>
    <n v="1"/>
    <s v="Box/Carton"/>
    <n v="0.125"/>
    <n v="0.19700000000000001"/>
    <n v="690"/>
    <s v="Health"/>
    <s v="SLASWATE1B1;"/>
    <s v="SLASWATE1B1;"/>
    <s v="EAU DISTILLEE, 1 l, fl.(BAKKER-HAVU B.V.)"/>
    <x v="17"/>
    <s v=""/>
    <s v=""/>
    <x v="0"/>
    <n v="0"/>
    <n v="0"/>
    <n v="0"/>
    <n v="0"/>
  </r>
  <r>
    <x v="1"/>
    <d v="2019-05-28T00:00:00"/>
    <d v="2026-05-28T00:00:00"/>
    <n v="16950"/>
    <s v="Each"/>
    <n v="113"/>
    <s v="Box/Carton"/>
    <n v="0.17"/>
    <n v="0.17"/>
    <n v="2410"/>
    <s v="Health"/>
    <s v="DEXTLUBR8J-;30/09/2021"/>
    <s v="DEXTLUBR8J-;30/09/2028"/>
    <s v="LUBRIFIANT à usage général, soluble ds l'eau, gel, 82g, tube(Optimum Medical Solutions,UK)"/>
    <x v="18"/>
    <s v="30/09/2028"/>
    <d v="2028-09-30T00:00:00"/>
    <x v="0"/>
    <n v="0"/>
    <n v="856"/>
    <n v="0"/>
    <n v="0"/>
  </r>
  <r>
    <x v="1"/>
    <d v="2019-05-28T00:00:00"/>
    <d v="2026-05-28T00:00:00"/>
    <n v="3000"/>
    <s v="Each"/>
    <n v="50"/>
    <s v="Box/Carton"/>
    <n v="5.0000000000000001E-3"/>
    <n v="7.0999999999999994E-2"/>
    <n v="2775"/>
    <s v="Health"/>
    <s v="DORARALT4T-;01/06/2020"/>
    <s v="DORARALT4T-;01/06/2027"/>
    <s v="RALTEGRAVIR potassique [RAL], éq. 400 mg base, comp.(MSD IDEA AG, Switzerland)"/>
    <x v="19"/>
    <s v="01/06/2027"/>
    <d v="2027-06-01T00:00:00"/>
    <x v="0"/>
    <n v="0"/>
    <n v="369"/>
    <n v="0"/>
    <n v="0"/>
  </r>
  <r>
    <x v="1"/>
    <d v="2019-05-28T00:00:00"/>
    <d v="2026-05-28T00:00:00"/>
    <n v="1920"/>
    <s v="Each"/>
    <n v="32"/>
    <s v="Box/Carton"/>
    <n v="3.0000000000000001E-3"/>
    <n v="0.01"/>
    <n v="194"/>
    <s v="Health"/>
    <s v="DORAYILN2T-;31/03/2022"/>
    <s v="DORAYILN2T-;31/03/2029"/>
    <s v="AZT 300 mg / 3TC 150 mg / NVP 200 mg, comp.(MYLAN LAB LTD,INDIA)"/>
    <x v="20"/>
    <s v="31/03/2029"/>
    <d v="2029-03-31T00:00:00"/>
    <x v="2"/>
    <n v="613118.18181818177"/>
    <n v="1038"/>
    <n v="9.3945998843467826E-2"/>
    <n v="9.3945998843467826E-2"/>
  </r>
  <r>
    <x v="1"/>
    <d v="2019-05-28T00:00:00"/>
    <d v="2026-05-28T00:00:00"/>
    <n v="4000"/>
    <s v="Each"/>
    <n v="80"/>
    <s v="Box/Carton"/>
    <n v="6.0999999999999999E-2"/>
    <n v="0.184"/>
    <n v="113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1"/>
    <d v="2019-05-28T00:00:00"/>
    <d v="2026-05-28T00:00:00"/>
    <n v="16800"/>
    <s v="Each"/>
    <n v="336"/>
    <s v="Box/Carton"/>
    <n v="0.25700000000000001"/>
    <n v="0.77300000000000002"/>
    <n v="474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1"/>
    <d v="2019-05-28T00:00:00"/>
    <d v="2026-05-28T00:00:00"/>
    <n v="9750"/>
    <s v="Each"/>
    <n v="195"/>
    <s v="Box/Carton"/>
    <n v="0.14899999999999999"/>
    <n v="0.44900000000000001"/>
    <n v="275"/>
    <s v="Health"/>
    <s v="DINJWATE1A-;31/03/2020"/>
    <s v="DINJWATE1A-;31/03/2027"/>
    <s v="EAU pour injection, 10 ml, amp. plastique(Aculife Healthcare Pvt.Ltd, India)"/>
    <x v="21"/>
    <s v="31/03/2027"/>
    <d v="2027-03-31T00:00:00"/>
    <x v="0"/>
    <n v="0"/>
    <n v="307"/>
    <n v="0"/>
    <n v="0"/>
  </r>
  <r>
    <x v="1"/>
    <d v="2019-05-28T00:00:00"/>
    <d v="2026-05-28T00:00:00"/>
    <n v="5400"/>
    <s v="Each"/>
    <n v="90"/>
    <s v="Box/Carton"/>
    <n v="8.0000000000000002E-3"/>
    <n v="2.4E-2"/>
    <n v="4995"/>
    <s v="Health"/>
    <s v="DORARALT4T-;30/09/2019"/>
    <s v="DORARALT4T-;30/09/2026"/>
    <s v="RALTEGRAVIR potassique [RAL], éq. 400 mg base, comp.(Zhejiang Huahai Pharmaceutical Co.Ltd, China)"/>
    <x v="19"/>
    <s v="30/09/2026"/>
    <d v="2026-09-30T00:00:00"/>
    <x v="0"/>
    <n v="0"/>
    <n v="125"/>
    <n v="0"/>
    <n v="0"/>
  </r>
  <r>
    <x v="1"/>
    <d v="2019-05-28T00:00:00"/>
    <d v="2026-05-28T00:00:00"/>
    <n v="6720"/>
    <s v="Each"/>
    <n v="112"/>
    <s v="Box/Carton"/>
    <n v="0.01"/>
    <n v="2.9000000000000001E-2"/>
    <n v="6216"/>
    <s v="Health"/>
    <s v="DORARALT4T-;30/09/2019"/>
    <s v="DORARALT4T-;30/09/2026"/>
    <s v="RALTEGRAVIR potassique [RAL], éq. 400 mg base, comp.(Zhejiang Huahai Pharmaceutical Co.Ltd, China)"/>
    <x v="19"/>
    <s v="30/09/2026"/>
    <d v="2026-09-30T00:00:00"/>
    <x v="0"/>
    <n v="0"/>
    <n v="125"/>
    <n v="0"/>
    <n v="0"/>
  </r>
  <r>
    <x v="1"/>
    <d v="2019-05-28T00:00:00"/>
    <d v="2026-05-28T00:00:00"/>
    <n v="15"/>
    <s v="Each"/>
    <n v="1"/>
    <s v="Box/Carton"/>
    <n v="1.9E-2"/>
    <n v="1.2E-2"/>
    <n v="0"/>
    <s v="Health"/>
    <s v="ELAEHAEE3--;"/>
    <s v="ELAEHAEE3--;"/>
    <s v="PHOTOMETRE HEMOGLOBINE [HemoCue Hb 301], tropicalisé(COPACK GmbH, GERMANY)"/>
    <x v="22"/>
    <s v=""/>
    <s v=""/>
    <x v="0"/>
    <n v="0"/>
    <n v="0"/>
    <n v="0"/>
    <n v="0"/>
  </r>
  <r>
    <x v="1"/>
    <d v="2019-05-28T00:00:00"/>
    <d v="2026-05-28T00:00:00"/>
    <n v="25"/>
    <s v="Each"/>
    <n v="1"/>
    <s v="Box/Carton"/>
    <n v="5.0000000000000001E-3"/>
    <n v="1.4999999999999999E-2"/>
    <n v="0"/>
    <s v="Health"/>
    <s v="EMEQOTOS1--;"/>
    <s v="EMEQOTOS1--;"/>
    <s v="OTOSCOPE, halogène + SPECULUMS(HEINE Optotechnik GmbH &amp; Co, Germany)"/>
    <x v="23"/>
    <s v=""/>
    <s v=""/>
    <x v="0"/>
    <n v="0"/>
    <n v="0"/>
    <n v="0"/>
    <n v="0"/>
  </r>
  <r>
    <x v="1"/>
    <d v="2019-05-28T00:00:00"/>
    <d v="2026-05-28T00:00:00"/>
    <n v="285"/>
    <s v="Each"/>
    <n v="1"/>
    <s v="Box/Carton"/>
    <n v="4.7E-2"/>
    <n v="0.20300000000000001"/>
    <n v="0"/>
    <s v="Health"/>
    <s v="EMEQSTET2--;"/>
    <s v="EMEQSTET2--;"/>
    <s v="STETHOSCOPE, double, 2 diaphragmes, adulte / enfant(Zhuji Kangfu Instrument Machinery,China)"/>
    <x v="24"/>
    <s v=""/>
    <s v=""/>
    <x v="0"/>
    <n v="0"/>
    <n v="0"/>
    <n v="0"/>
    <n v="0"/>
  </r>
  <r>
    <x v="1"/>
    <d v="2019-05-28T00:00:00"/>
    <d v="2026-05-28T00:00:00"/>
    <n v="204"/>
    <s v="Each"/>
    <n v="204"/>
    <s v="Box/Carton"/>
    <n v="9.8000000000000004E-2"/>
    <n v="0.34300000000000003"/>
    <n v="0"/>
    <s v="Health"/>
    <s v="PCOLTHER35A;"/>
    <s v="PCOLTHER35A;"/>
    <s v="THERMOMETRE à alcool [Moëller 104614] -30°C-+50C°(TROGE MEDICAL GMBH, GERMANY)"/>
    <x v="25"/>
    <s v=""/>
    <s v=""/>
    <x v="0"/>
    <n v="0"/>
    <n v="0"/>
    <n v="0"/>
    <n v="0"/>
  </r>
  <r>
    <x v="1"/>
    <d v="2019-05-28T00:00:00"/>
    <d v="2026-05-28T00:00:00"/>
    <n v="28"/>
    <s v="Each"/>
    <n v="28"/>
    <s v="None/Loose"/>
    <n v="1E-3"/>
    <n v="2E-3"/>
    <n v="0"/>
    <s v="Health"/>
    <s v="EMEQTOUR1--;"/>
    <s v="EMEQTOUR1--;"/>
    <s v="GARROT élastique, 100 x 1,8 cm°(NP)"/>
    <x v="26"/>
    <s v=""/>
    <s v=""/>
    <x v="0"/>
    <n v="0"/>
    <n v="0"/>
    <n v="0"/>
    <n v="0"/>
  </r>
  <r>
    <x v="1"/>
    <d v="2019-05-28T00:00:00"/>
    <d v="2026-05-28T00:00:00"/>
    <n v="840"/>
    <s v="Each"/>
    <n v="840"/>
    <s v="None/Loose"/>
    <n v="1.7000000000000001E-2"/>
    <n v="0.27500000000000002"/>
    <n v="0"/>
    <s v="Health"/>
    <s v="SCTDTUGA08-;"/>
    <s v="SCTDTUGA08-;"/>
    <s v="SONDE GASTRIQUE, embout conique, 125 cm, u.u., CH08(TYCO HEALTHCARE GROUP LP,USA)"/>
    <x v="27"/>
    <s v=""/>
    <s v=""/>
    <x v="0"/>
    <n v="0"/>
    <n v="0"/>
    <n v="0"/>
    <n v="0"/>
  </r>
  <r>
    <x v="1"/>
    <d v="2019-05-28T00:00:00"/>
    <d v="2026-05-28T00:00:00"/>
    <n v="14"/>
    <s v="Each"/>
    <n v="14"/>
    <s v="None/Loose"/>
    <n v="1E-3"/>
    <n v="4.0000000000000001E-3"/>
    <n v="24"/>
    <s v="Health"/>
    <s v="SDREBANE104;"/>
    <s v="SDREBANE104;"/>
    <s v="BANDE CREPE [Velpeau], 10 cm x 4 m(ANJI ANSHEN SURGICAL DRESSINGS Co.Ltd, CHINA)"/>
    <x v="28"/>
    <s v=""/>
    <s v=""/>
    <x v="0"/>
    <n v="0"/>
    <n v="0"/>
    <n v="0"/>
    <n v="0"/>
  </r>
  <r>
    <x v="1"/>
    <d v="2019-05-28T00:00:00"/>
    <d v="2026-05-28T00:00:00"/>
    <n v="3600"/>
    <s v="Each"/>
    <n v="120"/>
    <s v="Box/Carton"/>
    <n v="0.16200000000000001"/>
    <n v="1.63"/>
    <n v="0"/>
    <s v="Health"/>
    <s v="SINSSYDL60-;"/>
    <s v="SINSSYDL60-;"/>
    <s v="SERINGUE, u.u., Luer, 60 ml(TYCO HEALTHCARE GROUP LP,USA)"/>
    <x v="29"/>
    <s v=""/>
    <s v=""/>
    <x v="0"/>
    <n v="0"/>
    <n v="0"/>
    <n v="0"/>
    <n v="0"/>
  </r>
  <r>
    <x v="1"/>
    <d v="2019-05-28T00:00:00"/>
    <d v="2026-05-28T00:00:00"/>
    <n v="960"/>
    <s v="Each"/>
    <n v="32"/>
    <s v="Box/Carton"/>
    <n v="6.6000000000000003E-2"/>
    <n v="0.66400000000000003"/>
    <n v="0"/>
    <s v="Health"/>
    <s v=""/>
    <s v=""/>
    <s v="SERINGUE, u.u., Luer, 60 ml(TYCO HEALTHCARE GROUP LP,USA)"/>
    <x v="4"/>
    <s v=""/>
    <s v=""/>
    <x v="0"/>
    <n v="0"/>
    <n v="0"/>
    <n v="0"/>
    <n v="0"/>
  </r>
  <r>
    <x v="1"/>
    <d v="2019-05-28T00:00:00"/>
    <d v="2026-05-28T00:00:00"/>
    <n v="43"/>
    <s v="Each"/>
    <n v="43"/>
    <s v="None/Loose"/>
    <n v="5.0000000000000001E-3"/>
    <n v="5.7000000000000002E-2"/>
    <n v="0"/>
    <s v="Health"/>
    <s v="ELABCYLG0100;"/>
    <s v="ELABCYLG0100;"/>
    <s v="EPROUVETTE, verre, graduée, à bec verseur 100 ml(VITLAB, GERMANY)"/>
    <x v="30"/>
    <s v=""/>
    <s v=""/>
    <x v="0"/>
    <n v="0"/>
    <n v="0"/>
    <n v="0"/>
    <n v="0"/>
  </r>
  <r>
    <x v="1"/>
    <d v="2019-05-28T00:00:00"/>
    <d v="2026-05-28T00:00:00"/>
    <n v="1218"/>
    <s v="Each"/>
    <n v="48"/>
    <s v="Box/Carton"/>
    <n v="2.3279999999999998"/>
    <n v="13.444000000000001"/>
    <n v="186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1"/>
    <d v="2019-05-28T00:00:00"/>
    <d v="2026-05-28T00:00:00"/>
    <n v="1044"/>
    <s v="Each"/>
    <n v="0"/>
    <s v="Box/Carton"/>
    <n v="8.0909999999999993"/>
    <n v="46.719000000000001"/>
    <n v="647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1"/>
    <d v="2019-05-28T00:00:00"/>
    <d v="2026-05-28T00:00:00"/>
    <n v="94"/>
    <s v="Each"/>
    <n v="94"/>
    <s v="None/Loose"/>
    <n v="0.72899999999999998"/>
    <n v="4.2069999999999999"/>
    <n v="484"/>
    <s v="Health"/>
    <s v="SINSCONT5C-;"/>
    <s v="SINSCONT5C-;"/>
    <s v="CONTAINER, aiguilles/seringues, 5 l, carton pr incinération(HINDUSTANSYRINGES &amp; MEDICAL DIVICES LTD,INDIA)"/>
    <x v="31"/>
    <s v=""/>
    <s v=""/>
    <x v="0"/>
    <n v="0"/>
    <n v="0"/>
    <n v="0"/>
    <n v="0"/>
  </r>
  <r>
    <x v="1"/>
    <d v="2019-05-28T00:00:00"/>
    <d v="2026-05-28T00:00:00"/>
    <n v="300"/>
    <s v="Each"/>
    <n v="3"/>
    <s v="Box/Carton"/>
    <n v="3.0000000000000001E-3"/>
    <n v="2.1000000000000001E-2"/>
    <n v="122"/>
    <s v="Health"/>
    <s v="SMSUCONDF1-;30/04/2020"/>
    <s v="SMSUCONDF1-;30/04/2027"/>
    <s v="PRESERVATIF FEMININ, lubrifié, 170 mm, u.u.(CUPID LTD,INDIA)"/>
    <x v="3"/>
    <s v="30/04/2027"/>
    <d v="2027-04-30T00:00:00"/>
    <x v="0"/>
    <n v="0"/>
    <n v="337"/>
    <n v="0"/>
    <n v="0"/>
  </r>
  <r>
    <x v="1"/>
    <d v="2019-05-28T00:00:00"/>
    <d v="2026-05-28T00:00:00"/>
    <n v="549"/>
    <s v="Each"/>
    <n v="549"/>
    <s v="None/Loose"/>
    <n v="8.0000000000000002E-3"/>
    <n v="4.9000000000000002E-2"/>
    <n v="0"/>
    <s v="Health"/>
    <s v="STSSCONT1S-;"/>
    <s v="STSSCONT1S-;"/>
    <s v="POT A PRELEVEMENT, crachoir, plastique, non stérile()"/>
    <x v="32"/>
    <s v=""/>
    <s v=""/>
    <x v="0"/>
    <n v="0"/>
    <n v="0"/>
    <n v="0"/>
    <n v="0"/>
  </r>
  <r>
    <x v="1"/>
    <d v="2019-05-28T00:00:00"/>
    <d v="2026-05-28T00:00:00"/>
    <n v="2"/>
    <s v="Each"/>
    <n v="2"/>
    <s v="None/Loose"/>
    <n v="4.0000000000000001E-3"/>
    <n v="1E-3"/>
    <n v="0"/>
    <s v="Health"/>
    <s v="PTOOSCALA1510;"/>
    <s v="PTOOSCALA1510;"/>
    <s v="BALANCE sur piles, AC, 0-150kg, grad. 100g()"/>
    <x v="33"/>
    <s v=""/>
    <s v=""/>
    <x v="0"/>
    <n v="0"/>
    <n v="0"/>
    <n v="0"/>
    <n v="0"/>
  </r>
  <r>
    <x v="1"/>
    <d v="2019-05-28T00:00:00"/>
    <d v="2026-05-28T00:00:00"/>
    <n v="23"/>
    <s v="Each"/>
    <n v="23"/>
    <s v="None/Loose"/>
    <n v="0"/>
    <n v="1.7000000000000001E-2"/>
    <n v="0"/>
    <s v="Health"/>
    <s v="ELABBOTW0250;"/>
    <s v="ELABBOTW0250;"/>
    <s v="PISSETTE, col de cygne, plastique, 250 ml(Fisherbrand, USA)"/>
    <x v="34"/>
    <s v=""/>
    <s v=""/>
    <x v="0"/>
    <n v="0"/>
    <n v="0"/>
    <n v="0"/>
    <n v="0"/>
  </r>
  <r>
    <x v="1"/>
    <d v="2019-05-28T00:00:00"/>
    <d v="2026-05-28T00:00:00"/>
    <n v="38"/>
    <s v="Each"/>
    <n v="38"/>
    <s v="None/Loose"/>
    <n v="5.0000000000000001E-3"/>
    <n v="1.2999999999999999E-2"/>
    <n v="0"/>
    <s v="Health"/>
    <s v="ESTETIME1--;"/>
    <s v="ESTETIME1--;"/>
    <s v="MINUTEUR DE TABLE, 60 mn(NP)"/>
    <x v="35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4.0000000000000001E-3"/>
    <n v="2.5999999999999999E-2"/>
    <n v="0"/>
    <s v="Health"/>
    <s v="ELAECD4E1--;"/>
    <s v="ELAECD4E1--;"/>
    <s v="ANALYSEUR CD4 [PARTEC], 100-240V, 50-60Hz(Partec GmbH, Germany)"/>
    <x v="36"/>
    <s v=""/>
    <s v=""/>
    <x v="0"/>
    <n v="0"/>
    <n v="0"/>
    <n v="0"/>
    <n v="0"/>
  </r>
  <r>
    <x v="1"/>
    <d v="2019-05-28T00:00:00"/>
    <d v="2026-05-28T00:00:00"/>
    <n v="1000"/>
    <s v="Each"/>
    <n v="1"/>
    <s v="Bag/Sack"/>
    <n v="1E-3"/>
    <n v="2E-3"/>
    <n v="0"/>
    <s v="Health"/>
    <s v="ELABPIATB--;"/>
    <s v="ELABPIATB--;"/>
    <s v="[pip.aut.] EMBOUT BLEU, 50-1000µl [Eppdf](Plastibrand, Germany)"/>
    <x v="37"/>
    <s v=""/>
    <s v=""/>
    <x v="0"/>
    <n v="0"/>
    <n v="0"/>
    <n v="0"/>
    <n v="0"/>
  </r>
  <r>
    <x v="1"/>
    <d v="2019-05-28T00:00:00"/>
    <d v="2026-05-28T00:00:00"/>
    <n v="1000"/>
    <s v="Each"/>
    <n v="1"/>
    <s v="Bag/Sack"/>
    <n v="1E-3"/>
    <n v="7.0000000000000001E-3"/>
    <n v="0"/>
    <s v="Health"/>
    <s v="ELABPIATY--;"/>
    <s v="ELABPIATY--;"/>
    <s v="[pip.aut.] EMBOUT JAUNE, 2-200µl [Eppdf](Plastibrand, Germany)"/>
    <x v="38"/>
    <s v=""/>
    <s v=""/>
    <x v="0"/>
    <n v="0"/>
    <n v="0"/>
    <n v="0"/>
    <n v="0"/>
  </r>
  <r>
    <x v="1"/>
    <d v="2019-05-28T00:00:00"/>
    <d v="2026-05-28T00:00:00"/>
    <n v="11"/>
    <s v="Each"/>
    <n v="11"/>
    <s v="None/Loose"/>
    <n v="2E-3"/>
    <n v="2.8000000000000001E-2"/>
    <n v="0"/>
    <s v="Health"/>
    <s v="SINSCONT2P-;"/>
    <s v="SINSCONT2P-;"/>
    <s v="CONTAINER,regulated medical waste [UN3291](Fischer Brand, Canada)"/>
    <x v="39"/>
    <s v=""/>
    <s v=""/>
    <x v="0"/>
    <n v="0"/>
    <n v="0"/>
    <n v="0"/>
    <n v="0"/>
  </r>
  <r>
    <x v="1"/>
    <d v="2019-05-28T00:00:00"/>
    <d v="2026-05-28T00:00:00"/>
    <n v="13500"/>
    <s v="Each"/>
    <n v="135"/>
    <s v="Box/Carton"/>
    <n v="0.10299999999999999"/>
    <n v="0.311"/>
    <n v="348"/>
    <s v="Health"/>
    <s v="DINJWATE5A-;31/10/2020"/>
    <s v="DINJWATE5A-;31/10/2027"/>
    <s v="EAU pour injection, 5 ml, amp. plastique(LABESFAL-Laboratorios Almiro,Portugal)"/>
    <x v="40"/>
    <s v="31/10/2027"/>
    <d v="2027-10-31T00:00:00"/>
    <x v="0"/>
    <n v="0"/>
    <n v="521"/>
    <n v="0"/>
    <n v="0"/>
  </r>
  <r>
    <x v="1"/>
    <d v="2019-05-28T00:00:00"/>
    <d v="2026-05-28T00:00:00"/>
    <n v="14"/>
    <s v="Each"/>
    <n v="14"/>
    <s v="Box/Carton"/>
    <n v="3.5000000000000003E-2"/>
    <n v="3.5000000000000003E-2"/>
    <n v="0"/>
    <s v="Health"/>
    <s v=""/>
    <s v=""/>
    <s v="GLYCEROL ANHYDROUS 2.5L(APPLICHEM)"/>
    <x v="4"/>
    <s v=""/>
    <s v=""/>
    <x v="0"/>
    <n v="0"/>
    <n v="0"/>
    <n v="0"/>
    <n v="0"/>
  </r>
  <r>
    <x v="1"/>
    <d v="2019-05-28T00:00:00"/>
    <d v="2026-05-28T00:00:00"/>
    <n v="14"/>
    <s v="Each"/>
    <n v="14"/>
    <s v="Box/Carton"/>
    <n v="2E-3"/>
    <n v="5.0000000000000001E-3"/>
    <n v="0"/>
    <s v="Health"/>
    <s v="ELABTUCER1-;"/>
    <s v="ELABTUCER1-;"/>
    <s v="[tube à centrifuger, Ø 18 mm] PORTOIR(NALGENE,USA)"/>
    <x v="41"/>
    <s v=""/>
    <s v=""/>
    <x v="0"/>
    <n v="0"/>
    <n v="0"/>
    <n v="0"/>
    <n v="0"/>
  </r>
  <r>
    <x v="1"/>
    <d v="2019-05-28T00:00:00"/>
    <d v="2026-05-28T00:00:00"/>
    <n v="14"/>
    <s v="Each"/>
    <n v="14"/>
    <s v="None/Loose"/>
    <n v="3.5000000000000003E-2"/>
    <n v="3.5000000000000003E-2"/>
    <n v="0"/>
    <s v="Health"/>
    <s v=""/>
    <s v=""/>
    <s v="PROPANEDOL 2.5 L(REAGENT CHEMICAL SERVICES LIMITED)"/>
    <x v="4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1.4999999999999999E-2"/>
    <n v="2E-3"/>
    <n v="0"/>
    <s v="Health"/>
    <s v=""/>
    <s v=""/>
    <s v="PARTEC"/>
    <x v="4"/>
    <s v=""/>
    <s v=""/>
    <x v="0"/>
    <n v="0"/>
    <n v="0"/>
    <n v="0"/>
    <n v="0"/>
  </r>
  <r>
    <x v="1"/>
    <d v="2019-05-28T00:00:00"/>
    <d v="2026-05-28T00:00:00"/>
    <n v="244"/>
    <s v="Each"/>
    <n v="244"/>
    <s v="None/Loose"/>
    <n v="1E-3"/>
    <n v="4.0000000000000001E-3"/>
    <n v="0"/>
    <s v="Health"/>
    <s v="STSSBSVVH1-;"/>
    <s v="STSSBSVVH1-;"/>
    <s v="[s.prél.sang.] CORPS PORTE TUBE avec éjecteur d'aiguille(Greiner bio-one, Austria)"/>
    <x v="42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1E-3"/>
    <n v="5.0000000000000001E-3"/>
    <n v="0"/>
    <s v="Health"/>
    <s v="ELABPIAA1000;"/>
    <s v="ELABPIAA1000;"/>
    <s v="PIPETTE AUTOMATIQUE, vol. réglable 100-1000 µl [Eppendorf](Eppendorf, Germany)"/>
    <x v="43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0"/>
    <n v="1E-3"/>
    <n v="0"/>
    <s v="Health"/>
    <s v="ELABPIAA0200;"/>
    <s v="ELABPIAA0200;"/>
    <s v="PIPETTE AUTOMATIQUE, vol. réglable 20-200 µl [Eppendorf](Eppendorf, Germany)"/>
    <x v="44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0"/>
    <n v="1E-3"/>
    <n v="0"/>
    <s v="Health"/>
    <s v="ELABPIAA0100;"/>
    <s v="ELABPIAA0100;"/>
    <s v="PIPETTE AUTOMATIQUE, vol. réglable 10-100 µl [Eppendorf](Eppendorf, Germany)"/>
    <x v="45"/>
    <s v=""/>
    <s v=""/>
    <x v="0"/>
    <n v="0"/>
    <n v="0"/>
    <n v="0"/>
    <n v="0"/>
  </r>
  <r>
    <x v="1"/>
    <d v="2019-05-28T00:00:00"/>
    <d v="2026-05-28T00:00:00"/>
    <n v="290"/>
    <s v="Each"/>
    <n v="290"/>
    <s v="Box/Carton"/>
    <n v="0.115"/>
    <n v="0.10100000000000001"/>
    <n v="0"/>
    <s v="Health"/>
    <s v="ELABMILP1--;"/>
    <s v="ELABMILP1--;"/>
    <s v="MANCHE PASTEUR + anse, nickel chrome()"/>
    <x v="46"/>
    <s v=""/>
    <s v=""/>
    <x v="0"/>
    <n v="0"/>
    <n v="0"/>
    <n v="0"/>
    <n v="0"/>
  </r>
  <r>
    <x v="1"/>
    <d v="2019-05-28T00:00:00"/>
    <d v="2026-05-28T00:00:00"/>
    <n v="800"/>
    <s v="Each"/>
    <n v="800"/>
    <s v="None/Loose"/>
    <n v="1.7999999999999999E-2"/>
    <n v="3.0000000000000001E-3"/>
    <n v="0"/>
    <s v="Health"/>
    <s v=""/>
    <s v=""/>
    <s v="SAC A POUBELLE, 30 L(VOUSSERT, France)"/>
    <x v="4"/>
    <s v=""/>
    <s v=""/>
    <x v="0"/>
    <n v="0"/>
    <n v="0"/>
    <n v="0"/>
    <n v="0"/>
  </r>
  <r>
    <x v="1"/>
    <d v="2019-05-28T00:00:00"/>
    <d v="2026-05-28T00:00:00"/>
    <n v="1"/>
    <s v="Each"/>
    <n v="1"/>
    <s v="None/Loose"/>
    <n v="4.4999999999999998E-2"/>
    <n v="5.0000000000000001E-3"/>
    <n v="0"/>
    <s v="Health"/>
    <s v=""/>
    <s v=""/>
    <s v="[CD4 Analyseur Partec] TRANSFORMATEUR()"/>
    <x v="4"/>
    <s v=""/>
    <s v=""/>
    <x v="0"/>
    <n v="0"/>
    <n v="0"/>
    <n v="0"/>
    <n v="0"/>
  </r>
  <r>
    <x v="1"/>
    <d v="2019-05-28T00:00:00"/>
    <d v="2026-05-28T00:00:00"/>
    <n v="60600"/>
    <s v="Each"/>
    <n v="50"/>
    <s v="Box/Carton"/>
    <n v="0.63100000000000001"/>
    <n v="4.5940000000000003"/>
    <n v="2697"/>
    <s v="Health"/>
    <s v="SINSSYDL05-;30/04/2023"/>
    <s v="SINSSYDL05-;30/04/2030"/>
    <s v="SERINGUE, u.u., Luer, 5 ml(Hindustan syringes &amp; medical service , India)"/>
    <x v="47"/>
    <s v="30/04/2030"/>
    <d v="2030-04-30T00:00:00"/>
    <x v="0"/>
    <n v="0"/>
    <n v="1433"/>
    <n v="0"/>
    <n v="0"/>
  </r>
  <r>
    <x v="1"/>
    <d v="2019-05-28T00:00:00"/>
    <d v="2026-05-28T00:00:00"/>
    <n v="519"/>
    <s v="Each"/>
    <n v="20"/>
    <s v="Box/Carton"/>
    <n v="0.16800000000000001"/>
    <n v="0.40899999999999997"/>
    <n v="285"/>
    <s v="Health"/>
    <s v="SINSCONT5C-;30/09/2022"/>
    <s v="SINSCONT5C-;30/09/2029"/>
    <s v="CONTAINER, aiguilles/seringues, 5 l, carton pr incinération(HINDUSTANSYRINGES &amp; MEDICAL DIVICES LTD,INDIA)"/>
    <x v="31"/>
    <s v="30/09/2029"/>
    <d v="2029-09-30T00:00:00"/>
    <x v="0"/>
    <n v="0"/>
    <n v="1221"/>
    <n v="0"/>
    <n v="0"/>
  </r>
  <r>
    <x v="1"/>
    <d v="2019-05-28T00:00:00"/>
    <d v="2026-05-28T00:00:00"/>
    <n v="14480"/>
    <s v="Each"/>
    <n v="144"/>
    <s v="Box/Carton"/>
    <n v="0.111"/>
    <n v="1.0549999999999999"/>
    <n v="1332"/>
    <s v="Health"/>
    <s v="DINJWATE5A-;31/05/2021"/>
    <s v="DINJWATE5A-;31/05/2028"/>
    <s v="EAU pour injection, 5 ml, amp. plastique(LABESFAL-Laboratorios Almiro,Portugal)"/>
    <x v="40"/>
    <s v="31/05/2028"/>
    <d v="2028-05-31T00:00:00"/>
    <x v="0"/>
    <n v="0"/>
    <n v="734"/>
    <n v="0"/>
    <n v="0"/>
  </r>
  <r>
    <x v="1"/>
    <d v="2019-05-28T00:00:00"/>
    <d v="2026-05-28T00:00:00"/>
    <n v="20"/>
    <s v="Each"/>
    <n v="1"/>
    <s v="Kit/Set"/>
    <n v="0"/>
    <n v="4.0000000000000001E-3"/>
    <n v="32"/>
    <s v="Health"/>
    <s v="SSDTHIVU20T;07/09/2019"/>
    <s v="SSDTHIVU20T;07/09/2026"/>
    <s v="TEST VIH 1 + 2 [Uni-Gold], sér/pl/st, 1 test 1206502(TRINITY BIOTECH PLC, IRELAND)"/>
    <x v="48"/>
    <s v="07/09/2026"/>
    <d v="2026-09-07T00:00:00"/>
    <x v="2"/>
    <n v="1709.090909090909"/>
    <n v="102"/>
    <n v="0.35106382978723411"/>
    <n v="0.35106382978723411"/>
  </r>
  <r>
    <x v="1"/>
    <d v="2019-05-28T00:00:00"/>
    <d v="2026-05-28T00:00:00"/>
    <n v="50100"/>
    <s v="Each"/>
    <n v="1670"/>
    <s v="Box/Carton"/>
    <n v="0.13600000000000001"/>
    <n v="0.96499999999999997"/>
    <n v="5261"/>
    <s v="Health"/>
    <s v="DORAEFAV6T-;28/02/2021"/>
    <s v="DORAEFAV6T-;28/02/2028"/>
    <s v="EFAVIRENZ [EFV], 600 mg, comp.(CIPLA Ltd, INDIA)"/>
    <x v="49"/>
    <s v="28/02/2028"/>
    <d v="2028-02-28T00:00:00"/>
    <x v="2"/>
    <n v="875183.636363636"/>
    <n v="641"/>
    <n v="1.7173538644357242"/>
    <n v="1.7173538644357242"/>
  </r>
  <r>
    <x v="1"/>
    <d v="2019-05-28T00:00:00"/>
    <d v="2026-05-28T00:00:00"/>
    <n v="118800"/>
    <s v="Each"/>
    <n v="3960"/>
    <s v="Bag/Sack"/>
    <n v="0.32100000000000001"/>
    <n v="2.2890000000000001"/>
    <n v="12474"/>
    <s v="Health"/>
    <s v="DORAEFAV6T-;28/02/2021"/>
    <s v="DORAEFAV6T-;28/02/2028"/>
    <s v="EFAVIRENZ [EFV], 600 mg, comp.(CIPLA Ltd, INDIA)"/>
    <x v="49"/>
    <s v="28/02/2028"/>
    <d v="2028-02-28T00:00:00"/>
    <x v="2"/>
    <n v="875183.636363636"/>
    <n v="641"/>
    <n v="4.0722882054883041"/>
    <n v="4.0722882054883041"/>
  </r>
  <r>
    <x v="1"/>
    <d v="2019-05-28T00:00:00"/>
    <d v="2026-05-28T00:00:00"/>
    <n v="80"/>
    <s v="Each"/>
    <n v="4"/>
    <s v="Kit/Set"/>
    <n v="1E-3"/>
    <n v="1.6E-2"/>
    <n v="128"/>
    <s v="Health"/>
    <s v="SSDTHIVU20T;07/09/2019"/>
    <s v="SSDTHIVU20T;07/09/2026"/>
    <s v="TEST VIH 1 + 2 [Uni-Gold], sér/pl/st, 1 test 1206502(TRINITY BIOTECH PLC, IRELAND)"/>
    <x v="48"/>
    <s v="07/09/2026"/>
    <d v="2026-09-07T00:00:00"/>
    <x v="2"/>
    <n v="1709.090909090909"/>
    <n v="102"/>
    <n v="1.4042553191489364"/>
    <n v="1.4042553191489364"/>
  </r>
  <r>
    <x v="1"/>
    <d v="2019-05-28T00:00:00"/>
    <d v="2026-05-28T00:00:00"/>
    <n v="607800"/>
    <s v="Each"/>
    <n v="10130"/>
    <s v="Box/Carton"/>
    <n v="0.81"/>
    <n v="3.0390000000000001"/>
    <n v="51663"/>
    <s v="Health"/>
    <s v="DORAYILA2T-;28/02/2023"/>
    <s v="DORAYILA2T-;28/02/2030"/>
    <s v="AZT 300 mg / 3TC 150 mg, comp.(MYLAN LAB LTD,INDIA)"/>
    <x v="50"/>
    <s v="28/02/2030"/>
    <d v="2030-02-28T00:00:00"/>
    <x v="2"/>
    <n v="704712.72727272694"/>
    <n v="1372"/>
    <n v="25.874373052075388"/>
    <n v="25.874373052075388"/>
  </r>
  <r>
    <x v="1"/>
    <d v="2019-05-28T00:00:00"/>
    <d v="2026-05-28T00:00:00"/>
    <n v="315300"/>
    <s v="Each"/>
    <n v="5255"/>
    <s v="Box/Carton"/>
    <n v="0.42"/>
    <n v="1.577"/>
    <n v="26801"/>
    <s v="Health"/>
    <s v="DORAYILA2T-;28/02/2023"/>
    <s v="DORAYILA2T-;28/02/2030"/>
    <s v="AZT 300 mg / 3TC 150 mg, comp.(MYLAN LAB LTD,INDIA)"/>
    <x v="50"/>
    <s v="28/02/2030"/>
    <d v="2030-02-28T00:00:00"/>
    <x v="2"/>
    <n v="704712.72727272694"/>
    <n v="1372"/>
    <n v="13.422490660281952"/>
    <n v="13.422490660281952"/>
  </r>
  <r>
    <x v="1"/>
    <d v="2019-05-28T00:00:00"/>
    <d v="2026-05-28T00:00:00"/>
    <n v="14760"/>
    <s v="Each"/>
    <n v="492"/>
    <s v="Box/Carton"/>
    <n v="6.0999999999999999E-2"/>
    <n v="0.24199999999999999"/>
    <n v="7375"/>
    <s v="Health"/>
    <s v="DORAATVR3T-;30/04/2021"/>
    <s v="DORAATVR3T-;30/04/2028"/>
    <s v="ATV 300 mg / r 100 mg, comp.(MYLAN LAB LTD,INDIA)"/>
    <x v="51"/>
    <s v="30/04/2028"/>
    <d v="2028-04-30T00:00:00"/>
    <x v="0"/>
    <n v="0"/>
    <n v="703"/>
    <n v="0"/>
    <n v="0"/>
  </r>
  <r>
    <x v="1"/>
    <d v="2019-05-28T00:00:00"/>
    <d v="2026-05-28T00:00:00"/>
    <n v="63360"/>
    <s v="Each"/>
    <n v="1056"/>
    <s v="Bag/Sack"/>
    <n v="3.7999999999999999E-2"/>
    <n v="0.19"/>
    <n v="2112"/>
    <s v="Health"/>
    <s v="DORALAMI1T-;30/04/2020"/>
    <s v="DORALAMI1T-;30/04/2027"/>
    <s v="LAMIVUDINE [3TC], 150 mg, comp.(MYLAN LAB LTD,INDIA)"/>
    <x v="5"/>
    <s v="30/04/2027"/>
    <d v="2027-04-30T00:00:00"/>
    <x v="0"/>
    <n v="0"/>
    <n v="337"/>
    <n v="0"/>
    <n v="0"/>
  </r>
  <r>
    <x v="1"/>
    <d v="2019-05-28T00:00:00"/>
    <d v="2026-05-28T00:00:00"/>
    <n v="1080"/>
    <s v="Each"/>
    <n v="18"/>
    <s v="Box/Carton"/>
    <n v="2E-3"/>
    <n v="5.0000000000000001E-3"/>
    <n v="109"/>
    <s v="Health"/>
    <s v="DORAYILN2T-;30/04/2023"/>
    <s v="DORAYILN2T-;30/04/2030"/>
    <s v="AZT 300 mg / 3TC 150 mg / NVP 200 mg, comp.(MYLAN LAB LTD,INDIA)"/>
    <x v="20"/>
    <s v="30/04/2030"/>
    <d v="2030-04-30T00:00:00"/>
    <x v="2"/>
    <n v="613118.18181818177"/>
    <n v="1433"/>
    <n v="5.2844624349450649E-2"/>
    <n v="5.2844624349450649E-2"/>
  </r>
  <r>
    <x v="1"/>
    <d v="2019-05-28T00:00:00"/>
    <d v="2026-05-28T00:00:00"/>
    <n v="82560"/>
    <s v="Each"/>
    <n v="1376"/>
    <s v="Box/Carton"/>
    <n v="0.127"/>
    <n v="0.432"/>
    <n v="9426"/>
    <s v="Health"/>
    <s v="DORARITO1T2;31/01/2020"/>
    <s v="DORARITO1T2;31/01/2027"/>
    <s v="RITONAVIR [r], 100 mg, comp.(AbbVie Deutschland GmbH &amp; Co. KG, Knollstrasse, 67061 Ludwigshafen, Germany)"/>
    <x v="52"/>
    <s v="31/01/2027"/>
    <d v="2027-01-31T00:00:00"/>
    <x v="0"/>
    <n v="0"/>
    <n v="248"/>
    <n v="0"/>
    <n v="0"/>
  </r>
  <r>
    <x v="1"/>
    <d v="2019-05-28T00:00:00"/>
    <d v="2026-05-28T00:00:00"/>
    <n v="301224"/>
    <s v="Each"/>
    <n v="3586"/>
    <s v="Box/Carton"/>
    <n v="0.26100000000000001"/>
    <n v="1.359"/>
    <n v="10041"/>
    <s v="Health"/>
    <s v="DORAHRIF5TD1;31/07/2020"/>
    <s v="DORAHRIF5TD1;31/07/2027"/>
    <s v="H 50 mg / R 75 mg, comp. disp., blister(OXALIS LABS, INDIA)"/>
    <x v="11"/>
    <s v="31/07/2027"/>
    <d v="2027-07-31T00:00:00"/>
    <x v="1"/>
    <n v="20312.727272727272"/>
    <n v="429"/>
    <n v="444.87969924812029"/>
    <n v="429"/>
  </r>
  <r>
    <x v="1"/>
    <d v="2019-05-28T00:00:00"/>
    <d v="2026-05-28T00:00:00"/>
    <n v="263256"/>
    <s v="Each"/>
    <n v="3134"/>
    <s v="Box/Carton"/>
    <n v="0.23699999999999999"/>
    <n v="1.1579999999999999"/>
    <n v="10656"/>
    <s v="Health"/>
    <s v="DORAHZRI5TD1;31/07/2020"/>
    <s v="DORAHZRI5TD1;31/07/2027"/>
    <s v="H 50 mg / Z 150 mg / R 75 mg, comp. disp., blister(OXALIS LABS, INDIA)"/>
    <x v="12"/>
    <s v="31/07/2027"/>
    <d v="2027-07-31T00:00:00"/>
    <x v="1"/>
    <n v="80889.4545454545"/>
    <n v="429"/>
    <n v="97.635471080621869"/>
    <n v="97.635471080621869"/>
  </r>
  <r>
    <x v="1"/>
    <d v="2019-05-28T00:00:00"/>
    <d v="2026-05-28T00:00:00"/>
    <n v="46560"/>
    <s v="Each"/>
    <n v="776"/>
    <s v="Box/Carton"/>
    <n v="0.13700000000000001"/>
    <n v="0.81899999999999995"/>
    <n v="5316"/>
    <s v="Health"/>
    <s v="DORARITO1T2;31/01/2020"/>
    <s v="DORARITO1T2;31/01/2027"/>
    <s v="RITONAVIR [r], 100 mg, comp.(AbbVie Deutschland GmbH &amp; Co. KG, Knollstrasse, 67061 Ludwigshafen, Germany)"/>
    <x v="52"/>
    <s v="31/01/2027"/>
    <d v="2027-01-31T00:00:00"/>
    <x v="0"/>
    <n v="0"/>
    <n v="248"/>
    <n v="0"/>
    <n v="0"/>
  </r>
  <r>
    <x v="1"/>
    <d v="2019-05-28T00:00:00"/>
    <d v="2026-05-28T00:00:00"/>
    <n v="964620"/>
    <s v="Each"/>
    <n v="32154"/>
    <s v="Box/Carton"/>
    <n v="2.827"/>
    <n v="6.2380000000000004"/>
    <n v="81993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065746201836099"/>
    <n v="33.065746201836099"/>
  </r>
  <r>
    <x v="1"/>
    <d v="2019-05-28T00:00:00"/>
    <d v="2026-05-28T00:00:00"/>
    <n v="6700"/>
    <s v="Each"/>
    <n v="134"/>
    <s v="Box/Carton"/>
    <n v="0.10299999999999999"/>
    <n v="0.308"/>
    <n v="192"/>
    <s v="Health"/>
    <s v="DINJWATE1A-;31/05/2020"/>
    <s v="DINJWATE1A-;31/05/2027"/>
    <s v="EAU pour injection, 10 ml, amp. plastique(Otsuka Pceutical , India)"/>
    <x v="21"/>
    <s v="31/05/2027"/>
    <d v="2027-05-31T00:00:00"/>
    <x v="0"/>
    <n v="0"/>
    <n v="368"/>
    <n v="0"/>
    <n v="0"/>
  </r>
  <r>
    <x v="1"/>
    <d v="2019-05-28T00:00:00"/>
    <d v="2026-05-28T00:00:00"/>
    <n v="964800"/>
    <s v="Each"/>
    <n v="32160"/>
    <s v="Box/Carton"/>
    <n v="2.3159999999999998"/>
    <n v="6.2389999999999999"/>
    <n v="82008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071916335480779"/>
    <n v="33.071916335480779"/>
  </r>
  <r>
    <x v="1"/>
    <d v="2019-05-28T00:00:00"/>
    <d v="2026-05-28T00:00:00"/>
    <n v="630840"/>
    <s v="Each"/>
    <n v="21028"/>
    <s v="Box/Carton"/>
    <n v="1.514"/>
    <n v="4.0789999999999997"/>
    <n v="53621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21.624261713385877"/>
    <n v="21.624261713385877"/>
  </r>
  <r>
    <x v="1"/>
    <d v="2019-05-28T00:00:00"/>
    <d v="2026-05-28T00:00:00"/>
    <n v="218010"/>
    <s v="Each"/>
    <n v="7267"/>
    <s v="Box/Carton"/>
    <n v="0.52300000000000002"/>
    <n v="1.41"/>
    <n v="18531"/>
    <s v="Health"/>
    <s v="DORAEFAV6T-;30/06/2021"/>
    <s v="DORAEFAV6T-;30/06/2028"/>
    <s v="EFAVIRENZ [EFV], 600 mg, comp.(Aurobindo Pharma Limited, India)"/>
    <x v="49"/>
    <s v="30/06/2028"/>
    <d v="2028-06-30T00:00:00"/>
    <x v="2"/>
    <n v="875183.636363636"/>
    <n v="764"/>
    <n v="7.4730601993140171"/>
    <n v="7.4730601993140171"/>
  </r>
  <r>
    <x v="1"/>
    <d v="2019-05-28T00:00:00"/>
    <d v="2026-05-28T00:00:00"/>
    <n v="252000"/>
    <s v="Each"/>
    <n v="8400"/>
    <s v="Box/Carton"/>
    <n v="0.60499999999999998"/>
    <n v="1.63"/>
    <n v="21420"/>
    <s v="Health"/>
    <s v="DORAEFAV6T-;30/06/2021"/>
    <s v="DORAEFAV6T-;30/06/2028"/>
    <s v="EFAVIRENZ [EFV], 600 mg, comp.(Aurobindo Pharma Limited, India)"/>
    <x v="49"/>
    <s v="30/06/2028"/>
    <d v="2028-06-30T00:00:00"/>
    <x v="2"/>
    <n v="875183.636363636"/>
    <n v="764"/>
    <n v="8.6381871025509493"/>
    <n v="8.6381871025509493"/>
  </r>
  <r>
    <x v="1"/>
    <d v="2019-05-28T00:00:00"/>
    <d v="2026-05-28T00:00:00"/>
    <n v="968400"/>
    <s v="Each"/>
    <n v="32280"/>
    <s v="Box/Carton"/>
    <n v="2.3239999999999998"/>
    <n v="6.2619999999999996"/>
    <n v="82314"/>
    <s v="Health"/>
    <s v="DORAEFAV6T-;31/08/2021"/>
    <s v="DORAEFAV6T-;31/08/2028"/>
    <s v="EFAVIRENZ [EFV], 600 mg, comp.(Aurobindo Pharma Limited, India)"/>
    <x v="49"/>
    <s v="31/08/2028"/>
    <d v="2028-08-31T00:00:00"/>
    <x v="2"/>
    <n v="875183.636363636"/>
    <n v="826"/>
    <n v="33.195319008374355"/>
    <n v="33.195319008374355"/>
  </r>
  <r>
    <x v="1"/>
    <d v="2019-05-28T00:00:00"/>
    <d v="2026-05-28T00:00:00"/>
    <n v="5200"/>
    <s v="Each"/>
    <n v="52"/>
    <s v="Box/Carton"/>
    <n v="9.4E-2"/>
    <n v="0.26"/>
    <n v="3328"/>
    <s v="Health"/>
    <s v="DINJSTRE1V-;31/12/2021"/>
    <s v="DINJSTRE1V-;31/12/2028"/>
    <s v="STREPTOMYCINE sulfate, éq. 1 g base, poudre, fl.(Lab. REIG JOFRE, SPAIN)"/>
    <x v="6"/>
    <s v="31/12/2028"/>
    <d v="2028-12-31T00:00:00"/>
    <x v="1"/>
    <n v="1736.3636363636363"/>
    <n v="948"/>
    <n v="89.842931937172779"/>
    <n v="89.842931937172779"/>
  </r>
  <r>
    <x v="1"/>
    <d v="2019-05-28T00:00:00"/>
    <d v="2026-05-28T00:00:00"/>
    <n v="27800"/>
    <s v="Each"/>
    <n v="278"/>
    <s v="Box/Carton"/>
    <n v="0.5"/>
    <n v="1.39"/>
    <n v="17792"/>
    <s v="Health"/>
    <s v="DINJSTRE1V-;31/01/2022"/>
    <s v="DINJSTRE1V-;31/01/2029"/>
    <s v="STREPTOMYCINE sulfate, éq. 1 g base, poudre, fl.(Lab. REIG JOFRE, SPAIN)"/>
    <x v="6"/>
    <s v="31/01/2029"/>
    <d v="2029-01-31T00:00:00"/>
    <x v="1"/>
    <n v="1736.3636363636363"/>
    <n v="979"/>
    <n v="480.3141361256545"/>
    <n v="480.3141361256545"/>
  </r>
  <r>
    <x v="1"/>
    <d v="2019-05-28T00:00:00"/>
    <d v="2026-05-28T00:00:00"/>
    <n v="30"/>
    <s v="Each"/>
    <n v="1"/>
    <s v="Box/Carton"/>
    <n v="0"/>
    <n v="0"/>
    <n v="9"/>
    <s v="Health"/>
    <s v="DORAABLA2T3;  30/09/2020"/>
    <s v="DORAABLA2T3;30/09/2027"/>
    <s v="ABC 600 mg / 3TC 300 mg, comp.(MYLAN LAB LTD,INDIA)"/>
    <x v="53"/>
    <s v="30/09/2027"/>
    <d v="2027-09-30T00:00:00"/>
    <x v="2"/>
    <n v="25450.909090909092"/>
    <n v="490"/>
    <n v="3.5362194599228465E-2"/>
    <n v="3.5362194599228465E-2"/>
  </r>
  <r>
    <x v="1"/>
    <d v="2019-05-28T00:00:00"/>
    <d v="2026-05-28T00:00:00"/>
    <n v="168000"/>
    <s v="Each"/>
    <n v="2800"/>
    <s v="Box/Carton"/>
    <n v="0.10100000000000001"/>
    <n v="0.504"/>
    <n v="4984"/>
    <s v="Health"/>
    <s v="DORALAMI1T-;30/06/2021"/>
    <s v="DORALAMI1T-;30/06/2028"/>
    <s v="LAMIVUDINE [3TC], 150 mg, comp.(MACLEODS PHARMACEUTICAL LIMITED,INDIA)"/>
    <x v="5"/>
    <s v="30/06/2028"/>
    <d v="2028-06-30T00:00:00"/>
    <x v="0"/>
    <n v="0"/>
    <n v="764"/>
    <n v="0"/>
    <n v="0"/>
  </r>
  <r>
    <x v="1"/>
    <d v="2019-05-28T00:00:00"/>
    <d v="2026-05-28T00:00:00"/>
    <n v="87270"/>
    <s v="Each"/>
    <n v="2909"/>
    <s v="Box/Carton"/>
    <n v="0.36"/>
    <n v="1.431"/>
    <n v="37788"/>
    <s v="Health"/>
    <s v="DORAATVR3T-;31/07/2021"/>
    <s v="DORAATVR3T-;31/07/2028"/>
    <s v="ATV 300 mg / r 100 mg, comp.(MYLAN LAB LTD,INDIA)"/>
    <x v="51"/>
    <s v="31/07/2028"/>
    <d v="2028-07-31T00:00:00"/>
    <x v="0"/>
    <n v="0"/>
    <n v="795"/>
    <n v="0"/>
    <n v="0"/>
  </r>
  <r>
    <x v="1"/>
    <d v="2019-05-28T00:00:00"/>
    <d v="2026-05-28T00:00:00"/>
    <n v="318060"/>
    <s v="Each"/>
    <n v="5301"/>
    <s v="Box/Carton"/>
    <n v="0.26500000000000001"/>
    <n v="1.06"/>
    <n v="11662"/>
    <s v="Health"/>
    <s v="DORANEVI2T-;31/10/2022"/>
    <s v="DORANEVI2T-;31/10/2029"/>
    <s v="NEVIRAPINE [NVP], 200 mg, comp. (MYLAN LAB LTD,INDIA)"/>
    <x v="54"/>
    <s v="31/10/2029"/>
    <d v="2029-10-31T00:00:00"/>
    <x v="2"/>
    <n v="44449.090909090912"/>
    <n v="1252"/>
    <n v="214.66805743035957"/>
    <n v="214.66805743035957"/>
  </r>
  <r>
    <x v="1"/>
    <d v="2019-05-28T00:00:00"/>
    <d v="2026-05-28T00:00:00"/>
    <n v="53160"/>
    <s v="Each"/>
    <n v="886"/>
    <s v="Box/Carton"/>
    <n v="0.13600000000000001"/>
    <n v="0.36899999999999999"/>
    <n v="47844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1"/>
    <d v="2019-05-28T00:00:00"/>
    <d v="2026-05-28T00:00:00"/>
    <n v="114840"/>
    <s v="Each"/>
    <n v="1914"/>
    <s v="Box/Carton"/>
    <n v="0.29399999999999998"/>
    <n v="0.79800000000000004"/>
    <n v="103356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1"/>
    <d v="2019-05-28T00:00:00"/>
    <d v="2026-05-28T00:00:00"/>
    <n v="61680"/>
    <s v="Each"/>
    <n v="1028"/>
    <s v="Box/Carton"/>
    <n v="0.158"/>
    <n v="0.42899999999999999"/>
    <n v="55512"/>
    <s v="Health"/>
    <s v="DORADARU6T-;30/09/2020"/>
    <s v="DORADARU6T-;30/09/2027"/>
    <s v="DARUNAVIR éthanolate [DRV], éq. 600 mg base, comp.(HETERO LABS Ltd, India)"/>
    <x v="7"/>
    <s v="30/09/2027"/>
    <d v="2027-09-30T00:00:00"/>
    <x v="0"/>
    <n v="0"/>
    <n v="490"/>
    <n v="0"/>
    <n v="0"/>
  </r>
  <r>
    <x v="1"/>
    <d v="2019-05-28T00:00:00"/>
    <d v="2026-05-28T00:00:00"/>
    <n v="81630"/>
    <s v="Each"/>
    <n v="2721"/>
    <s v="Box/Carton"/>
    <n v="0.11899999999999999"/>
    <n v="1.407"/>
    <n v="23809"/>
    <s v="Health"/>
    <s v="DORAABLA2T3;31/01/2021"/>
    <s v="DORAABLA2T3;31/01/2028"/>
    <s v="ABC 600 mg / 3TC 300 mg, comp.(MYLAN LAB LTD,INDIA):3095052"/>
    <x v="53"/>
    <s v="31/01/2028"/>
    <d v="2028-01-31T00:00:00"/>
    <x v="2"/>
    <n v="25450.909090909092"/>
    <n v="613"/>
    <n v="96.220531504500627"/>
    <n v="96.220531504500627"/>
  </r>
  <r>
    <x v="1"/>
    <d v="2019-05-28T00:00:00"/>
    <d v="2026-05-28T00:00:00"/>
    <n v="23900"/>
    <s v="Each"/>
    <n v="239"/>
    <s v="Box/Carton"/>
    <n v="3.7999999999999999E-2"/>
    <n v="0.10299999999999999"/>
    <n v="19120"/>
    <s v="Health"/>
    <s v="SSDTHIVD10T;01/01/2020"/>
    <s v="SSDTHIVD10T;01/01/2027"/>
    <s v="TEST VIH 1 + 2 [Determine], sér/pl/st, 1 test 7D2343(ALERE MEDICAL Co. Ltd, Japan)"/>
    <x v="55"/>
    <s v="01/01/2027"/>
    <d v="2027-01-01T00:00:00"/>
    <x v="2"/>
    <n v="13363.636363636364"/>
    <n v="218"/>
    <n v="53.653061224489797"/>
    <n v="53.653061224489797"/>
  </r>
  <r>
    <x v="1"/>
    <d v="2019-05-28T00:00:00"/>
    <d v="2026-05-28T00:00:00"/>
    <n v="717696"/>
    <s v="Each"/>
    <n v="1068"/>
    <s v="Box/Carton"/>
    <n v="0.61099999999999999"/>
    <n v="2.4609999999999999"/>
    <n v="23507"/>
    <s v="Health"/>
    <s v="DORAHRIF7T1;31/10/2021"/>
    <s v="DORAHRIF7T1;31/10/2028"/>
    <s v="H 75 mg / R 150 mg, comp., blister(LUPIN LTD, INDIA)"/>
    <x v="10"/>
    <s v="31/10/2028"/>
    <d v="2028-10-31T00:00:00"/>
    <x v="1"/>
    <n v="405643.63636363635"/>
    <n v="887"/>
    <n v="53.078313253012055"/>
    <n v="53.078313253012055"/>
  </r>
  <r>
    <x v="1"/>
    <d v="2019-05-28T00:00:00"/>
    <d v="2026-05-28T00:00:00"/>
    <n v="1563072"/>
    <s v="Each"/>
    <n v="2326"/>
    <s v="Box/Carton"/>
    <n v="1.331"/>
    <n v="5.3319999999999999"/>
    <n v="51195"/>
    <s v="Health"/>
    <s v="DORAHRIF7T1;30/09/2021"/>
    <s v="DORAHRIF7T1;30/09/2028"/>
    <s v="H 75 mg / R 150 mg, comp., blister(LUPIN LTD, INDIA)"/>
    <x v="10"/>
    <s v="30/09/2028"/>
    <d v="2028-09-30T00:00:00"/>
    <x v="1"/>
    <n v="405643.63636363635"/>
    <n v="856"/>
    <n v="115.59939759036145"/>
    <n v="115.59939759036145"/>
  </r>
  <r>
    <x v="1"/>
    <d v="2019-05-28T00:00:00"/>
    <d v="2026-05-28T00:00:00"/>
    <n v="1529472"/>
    <s v="Each"/>
    <n v="2276"/>
    <s v="Box/Carton"/>
    <n v="1.302"/>
    <n v="5.2089999999999996"/>
    <n v="50095"/>
    <s v="Health"/>
    <s v="DORAHRIF5TD1;31/10/2021"/>
    <s v="DORAHRIF5TD1;31/10/2028"/>
    <s v="H 75 mg / R 150 mg, comp., blister(LUPIN LTD, INDIA)"/>
    <x v="11"/>
    <s v="31/10/2028"/>
    <d v="2028-10-31T00:00:00"/>
    <x v="1"/>
    <n v="20312.727272727272"/>
    <n v="887"/>
    <n v="2258.8872180451131"/>
    <n v="887"/>
  </r>
  <r>
    <x v="1"/>
    <d v="2019-05-28T00:00:00"/>
    <d v="2026-05-28T00:00:00"/>
    <n v="305760"/>
    <s v="Each"/>
    <n v="455"/>
    <s v="Box/Carton"/>
    <n v="0.42"/>
    <n v="1.345"/>
    <n v="16821"/>
    <s v="Health"/>
    <s v="DORAEHRI1T1;09/09/2021"/>
    <s v="DORAEHRI1T1;09/09/2028"/>
    <s v="E 275 mg / H 75 mg / R 150 mg, comp., blister(LUPIN LTD, INDIA)"/>
    <x v="56"/>
    <s v="09/09/2028"/>
    <d v="2028-09-09T00:00:00"/>
    <x v="1"/>
    <n v="114722.909090909"/>
    <n v="835"/>
    <n v="79.956131453494336"/>
    <n v="79.956131453494336"/>
  </r>
  <r>
    <x v="1"/>
    <d v="2019-05-28T00:00:00"/>
    <d v="2026-05-28T00:00:00"/>
    <n v="165984"/>
    <s v="Each"/>
    <n v="247"/>
    <s v="Box/Carton"/>
    <n v="0.32900000000000001"/>
    <n v="1.113"/>
    <n v="11306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18.209777711583573"/>
    <n v="18.209777711583573"/>
  </r>
  <r>
    <x v="1"/>
    <d v="2019-05-28T00:00:00"/>
    <d v="2026-05-28T00:00:00"/>
    <n v="731808"/>
    <s v="Each"/>
    <n v="1089"/>
    <s v="Box/Carton"/>
    <n v="1.4339999999999999"/>
    <n v="4.8540000000000001"/>
    <n v="49343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80.285214283054714"/>
    <n v="80.285214283054714"/>
  </r>
  <r>
    <x v="1"/>
    <d v="2019-05-28T00:00:00"/>
    <d v="2026-05-28T00:00:00"/>
    <n v="785568"/>
    <s v="Each"/>
    <n v="1169"/>
    <s v="Box/Carton"/>
    <n v="1.5389999999999999"/>
    <n v="5.2149999999999999"/>
    <n v="52967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86.183117995308493"/>
    <n v="86.183117995308493"/>
  </r>
  <r>
    <x v="1"/>
    <d v="2019-05-28T00:00:00"/>
    <d v="2026-05-28T00:00:00"/>
    <n v="122976"/>
    <s v="Each"/>
    <n v="183"/>
    <s v="Box/Carton"/>
    <n v="0.24099999999999999"/>
    <n v="0.85099999999999998"/>
    <n v="8292"/>
    <s v="Health"/>
    <s v="DORAEHZR2T1;31/10/2021"/>
    <s v="DORAEHZR2T1;31/10/2028"/>
    <s v="E 275 mg / H 75 mg / Z 400 mg / R 150 mg, comp., blister(LUPIN LTD, INDIA)"/>
    <x v="57"/>
    <s v="31/10/2028"/>
    <d v="2028-10-31T00:00:00"/>
    <x v="1"/>
    <n v="273453.09090909088"/>
    <n v="887"/>
    <n v="13.491454741780542"/>
    <n v="13.491454741780542"/>
  </r>
  <r>
    <x v="1"/>
    <d v="2019-05-28T00:00:00"/>
    <d v="2026-05-28T00:00:00"/>
    <n v="77340"/>
    <s v="Each"/>
    <n v="1289"/>
    <s v="Box/Carton"/>
    <n v="0.156"/>
    <n v="0.91"/>
    <n v="71540"/>
    <s v="Health"/>
    <s v="DORARALT4T-;31/01/2021"/>
    <s v="DORARALT4T-;31/01/2028"/>
    <s v="RALTEGRAVIR potassique [RAL], éq. 400 mg base, comp.(Zhejiang Huahai Pharmaceutical Co.Ltd, China):168C18008"/>
    <x v="19"/>
    <s v="31/01/2028"/>
    <d v="2028-01-31T00:00:00"/>
    <x v="0"/>
    <n v="0"/>
    <n v="613"/>
    <n v="0"/>
    <n v="0"/>
  </r>
  <r>
    <x v="1"/>
    <d v="2019-05-28T00:00:00"/>
    <d v="2026-05-28T00:00:00"/>
    <n v="678480"/>
    <s v="Each"/>
    <n v="22616"/>
    <s v="Bag/Sack"/>
    <n v="1.9219999999999999"/>
    <n v="7.7539999999999996"/>
    <n v="152658"/>
    <s v="Health"/>
    <s v="DORATEEF1T-;30/11/2020"/>
    <s v="DORATEEF1T-;30/11/2027"/>
    <s v="TDF 300 mg / FTC 200 mg / EFV 600 mg, comp.(Strides Pharma Science LTD, India)"/>
    <x v="58"/>
    <s v="30/11/2027"/>
    <d v="2027-11-30T00:00:00"/>
    <x v="2"/>
    <n v="683983.63636363635"/>
    <n v="551"/>
    <n v="29.758606665231227"/>
    <n v="29.758606665231227"/>
  </r>
  <r>
    <x v="1"/>
    <d v="2019-05-28T00:00:00"/>
    <d v="2026-05-28T00:00:00"/>
    <n v="26400"/>
    <s v="Each"/>
    <n v="264"/>
    <s v="Box/Carton"/>
    <n v="2.5999999999999999E-2"/>
    <n v="7.0000000000000001E-3"/>
    <n v="25935"/>
    <s v="Health"/>
    <s v="DORACLOF1C-;28/02/2023"/>
    <s v="DORACLOF1C-;28/02/2030"/>
    <s v="CLOFAZIMINE, 100 mg, caps. molle(Novartis Pharma, France):JC2600"/>
    <x v="59"/>
    <s v="28/02/2030"/>
    <d v="2030-02-28T00:00:00"/>
    <x v="1"/>
    <n v="4909.0909090909099"/>
    <n v="1372"/>
    <n v="161.33333333333329"/>
    <n v="161.33333333333329"/>
  </r>
  <r>
    <x v="1"/>
    <d v="2019-05-28T00:00:00"/>
    <d v="2026-05-28T00:00:00"/>
    <n v="93408"/>
    <s v="Each"/>
    <n v="139"/>
    <s v="Bag/Sack"/>
    <n v="7.3999999999999996E-2"/>
    <n v="2.1999999999999999E-2"/>
    <n v="1946"/>
    <s v="Health"/>
    <s v="DORAPYRZ4T1;31/05/2023"/>
    <s v="DORAPYRZ4T1;31/05/2030"/>
    <s v="PYRAZINAMIDE [Z], 400 mg, comp., blister(OXALIS LABS.BADDI, INDIA):NPB805A"/>
    <x v="9"/>
    <s v="31/05/2030"/>
    <d v="2030-05-31T00:00:00"/>
    <x v="1"/>
    <n v="18064"/>
    <n v="1464"/>
    <n v="155.12843224092114"/>
    <n v="155.12843224092114"/>
  </r>
  <r>
    <x v="1"/>
    <d v="2019-05-28T00:00:00"/>
    <d v="2026-05-28T00:00:00"/>
    <n v="86688"/>
    <s v="Each"/>
    <n v="129"/>
    <s v="Box/Carton"/>
    <n v="8.7999999999999995E-2"/>
    <n v="1.7000000000000001E-2"/>
    <n v="2580"/>
    <s v="Health"/>
    <s v="DORAETHA4T1;31/05/2023"/>
    <s v="DORAETHA4T1;31/05/2030"/>
    <s v="ETHAMBUTOL chlorhydrate [E], éq. 400 mg base, comp. blister(Svizera Labs Pvt Ltd, India):SL485"/>
    <x v="60"/>
    <s v="31/05/2030"/>
    <d v="2030-05-31T00:00:00"/>
    <x v="1"/>
    <n v="15070.545454545399"/>
    <n v="1464"/>
    <n v="172.56442428337095"/>
    <n v="172.56442428337095"/>
  </r>
  <r>
    <x v="1"/>
    <d v="2019-05-28T00:00:00"/>
    <d v="2026-05-28T00:00:00"/>
    <n v="155"/>
    <s v="Each"/>
    <n v="155"/>
    <s v="Box/Carton"/>
    <n v="5.6000000000000001E-2"/>
    <n v="1.2999999999999999E-2"/>
    <n v="8525"/>
    <s v="Health"/>
    <s v="SINSCONT5C-;30/11/2022"/>
    <s v="SINSCONT5C-;30/11/2029"/>
    <s v="CONTAINER, aiguilles/seringues, 5 l, carton pr incinération(HINDUSTAN SYRINGES &amp; MEDICAL DIVICES LTD,INDIA):10171"/>
    <x v="31"/>
    <s v="30/11/2029"/>
    <d v="2029-11-30T00:00:00"/>
    <x v="0"/>
    <n v="0"/>
    <n v="1282"/>
    <n v="0"/>
    <n v="0"/>
  </r>
  <r>
    <x v="1"/>
    <d v="2019-05-28T00:00:00"/>
    <d v="2026-05-28T00:00:00"/>
    <n v="25500"/>
    <s v="Each"/>
    <n v="255"/>
    <s v="Box/Carton"/>
    <n v="3.6999999999999998E-2"/>
    <n v="0.123"/>
    <n v="6758"/>
    <s v="Health"/>
    <s v="DORAMOXI4T-;30/04/2023"/>
    <s v="DORAMOXI4T-;30/04/2030"/>
    <s v="MOXIFLOXACINE chlorhydrate, éq 400 mg base, comp.(MSN LABS,Pvt, Ltd, India):BT1805102B"/>
    <x v="61"/>
    <s v="30/04/2030"/>
    <d v="2030-04-30T00:00:00"/>
    <x v="1"/>
    <n v="5990.9090909090901"/>
    <n v="1433"/>
    <n v="127.69347496206375"/>
    <n v="127.69347496206375"/>
  </r>
  <r>
    <x v="1"/>
    <d v="2019-05-28T00:00:00"/>
    <d v="2026-05-28T00:00:00"/>
    <n v="4200"/>
    <s v="Each"/>
    <n v="42"/>
    <s v="Box/Carton"/>
    <n v="4.2000000000000003E-2"/>
    <n v="2E-3"/>
    <n v="187"/>
    <s v="Health"/>
    <s v="SINSSYDL05-;31/03/2023"/>
    <s v="SINSSYDL05-;31/03/2030"/>
    <s v="SERINGUE, u.u., Luer, 5 ml(Hindustan syringes &amp; medical service , India):1483J41"/>
    <x v="47"/>
    <s v="31/03/2030"/>
    <d v="2030-03-31T00:00:00"/>
    <x v="0"/>
    <n v="0"/>
    <n v="1403"/>
    <n v="0"/>
    <n v="0"/>
  </r>
  <r>
    <x v="1"/>
    <d v="2019-05-28T00:00:00"/>
    <d v="2026-05-28T00:00:00"/>
    <n v="38000"/>
    <s v="Each"/>
    <n v="380"/>
    <s v="Box/Carton"/>
    <n v="3.4000000000000002E-2"/>
    <n v="8.9999999999999993E-3"/>
    <n v="3116"/>
    <s v="Health"/>
    <s v="DORAPRON2T1;31/05/2021"/>
    <s v="DORAPRON2T1;31/05/2028"/>
    <s v="PROTHIONAMIDE, 250 mg, comp., blister(Micro Labs Hosur, India):PTOHH0076"/>
    <x v="62"/>
    <s v="31/05/2028"/>
    <d v="2028-05-31T00:00:00"/>
    <x v="1"/>
    <n v="12290.909090908999"/>
    <n v="734"/>
    <n v="92.751479289941514"/>
    <n v="92.751479289941514"/>
  </r>
  <r>
    <x v="1"/>
    <d v="2019-05-28T00:00:00"/>
    <d v="2026-05-28T00:00:00"/>
    <n v="1300"/>
    <s v="Each"/>
    <n v="130"/>
    <s v="Box/Carton"/>
    <n v="1.0999999999999999E-2"/>
    <n v="0.04"/>
    <n v="903"/>
    <s v="Health"/>
    <s v="DINJAMIK5A-;31/03/2022"/>
    <s v="DINJAMIK5A-;31/03/2029"/>
    <s v="AMIKACINE sulfate, éq. 500mg/ml base, 2 ml, amp.(Medochemie Ltd,Cyprus):A301AH"/>
    <x v="63"/>
    <s v="31/03/2029"/>
    <d v="2029-03-31T00:00:00"/>
    <x v="1"/>
    <n v="4200"/>
    <n v="1038"/>
    <n v="9.2857142857142865"/>
    <n v="9.2857142857142865"/>
  </r>
  <r>
    <x v="1"/>
    <d v="2019-05-28T00:00:00"/>
    <d v="2026-05-28T00:00:00"/>
    <n v="15500"/>
    <s v="Each"/>
    <n v="1550"/>
    <s v="Box/Carton"/>
    <n v="0.13200000000000001"/>
    <n v="0.47099999999999997"/>
    <n v="10773"/>
    <s v="Health"/>
    <s v="DINJAMIK5A-;31/03/2022"/>
    <s v="DINJAMIK5A-;31/03/2029"/>
    <s v="AMIKACINE sulfate, éq. 500mg/ml base, 2 ml, amp.(Medochemie Ltd,Cyprus):A516AH"/>
    <x v="63"/>
    <s v="31/03/2029"/>
    <d v="2029-03-31T00:00:00"/>
    <x v="1"/>
    <n v="4200"/>
    <n v="1038"/>
    <n v="110.71428571428572"/>
    <n v="110.71428571428572"/>
  </r>
  <r>
    <x v="1"/>
    <d v="2019-05-28T00:00:00"/>
    <d v="2026-05-28T00:00:00"/>
    <n v="446880"/>
    <s v="Each"/>
    <n v="7448"/>
    <s v="Box/Carton"/>
    <n v="0.56899999999999995"/>
    <n v="2.0699999999999998"/>
    <n v="37166"/>
    <s v="Health"/>
    <s v="DORAYILA2T-;30/11/2022"/>
    <s v="DORAYILA2T-;30/11/2029"/>
    <s v="AZT 300 mg / 3TC 150 mg, comp.(MYLAN LAB LTD,INDIA):3092381"/>
    <x v="50"/>
    <s v="30/11/2029"/>
    <d v="2029-11-30T00:00:00"/>
    <x v="2"/>
    <n v="704712.72727272694"/>
    <n v="1282"/>
    <n v="19.023922062374876"/>
    <n v="19.023922062374876"/>
  </r>
  <r>
    <x v="1"/>
    <d v="2019-05-28T00:00:00"/>
    <d v="2026-05-28T00:00:00"/>
    <n v="1168080"/>
    <s v="Each"/>
    <n v="19468"/>
    <s v="Box/Carton"/>
    <n v="1.4870000000000001"/>
    <n v="5.41"/>
    <n v="97145"/>
    <s v="Health"/>
    <s v="DORAYILA2T-;30/10/2023"/>
    <s v="DORAYILA2T-;30/10/2030"/>
    <s v="AZT 300 mg / 3TC 150 mg, comp.(MYLAN LAB LTD,INDIA):3091780"/>
    <x v="50"/>
    <s v="30/10/2030"/>
    <d v="2030-10-30T00:00:00"/>
    <x v="2"/>
    <n v="704712.72727272694"/>
    <n v="1616"/>
    <n v="49.725794134037876"/>
    <n v="49.725794134037876"/>
  </r>
  <r>
    <x v="1"/>
    <d v="2019-05-28T00:00:00"/>
    <d v="2026-05-28T00:00:00"/>
    <n v="1179360"/>
    <s v="Each"/>
    <n v="19656"/>
    <s v="Box/Carton"/>
    <n v="1.502"/>
    <n v="5.46"/>
    <n v="98083"/>
    <s v="Health"/>
    <s v="DORAYILA2T-;30/10/2023"/>
    <s v="DORAYILA2T-;30/10/2030"/>
    <s v="AZT 300 mg / 3TC 150 mg, comp.(MYLAN LAB LTD,INDIA):3091781"/>
    <x v="50"/>
    <s v="30/10/2030"/>
    <d v="2030-10-30T00:00:00"/>
    <x v="2"/>
    <n v="704712.72727272694"/>
    <n v="1616"/>
    <n v="50.205989803711141"/>
    <n v="50.205989803711141"/>
  </r>
  <r>
    <x v="1"/>
    <d v="2019-05-28T00:00:00"/>
    <d v="2026-05-28T00:00:00"/>
    <n v="859200"/>
    <s v="Each"/>
    <n v="14320"/>
    <s v="Box/Carton"/>
    <n v="1.0940000000000001"/>
    <n v="3.98"/>
    <n v="71457"/>
    <s v="Health"/>
    <s v="DORAYILA2T-;30/10/2023"/>
    <s v="DORAYILA2T-;30/10/2030"/>
    <s v="AZT 300 mg / 3TC 150 mg, comp.(MYLAN LAB LTD,INDIA):8084242"/>
    <x v="50"/>
    <s v="30/10/2030"/>
    <d v="2030-10-30T00:00:00"/>
    <x v="2"/>
    <n v="704712.72727272694"/>
    <n v="1616"/>
    <n v="36.57660632830401"/>
    <n v="36.57660632830401"/>
  </r>
  <r>
    <x v="1"/>
    <d v="2019-05-28T00:00:00"/>
    <d v="2026-05-28T00:00:00"/>
    <n v="1800"/>
    <s v="Each"/>
    <n v="60"/>
    <s v="Box/Carton"/>
    <n v="4.0000000000000001E-3"/>
    <n v="1.2E-2"/>
    <n v="180"/>
    <s v="Health"/>
    <s v="DORAEFAV6T-;28/02/2021"/>
    <s v="DORAEFAV6T-;28/02/2028"/>
    <s v="EFAVIRENZ [EFV], 600 mg, comp.(CIPLA Ltd, INDIA):GG80682"/>
    <x v="49"/>
    <s v="28/02/2028"/>
    <d v="2028-02-28T00:00:00"/>
    <x v="2"/>
    <n v="875183.636363636"/>
    <n v="641"/>
    <n v="6.1701336446792494E-2"/>
    <n v="6.1701336446792494E-2"/>
  </r>
  <r>
    <x v="1"/>
    <d v="2019-05-28T00:00:00"/>
    <d v="2026-05-28T00:00:00"/>
    <n v="14460"/>
    <s v="Each"/>
    <n v="241"/>
    <s v="Box/Carton"/>
    <n v="2.8000000000000001E-2"/>
    <n v="0.13100000000000001"/>
    <n v="13376"/>
    <s v="Health"/>
    <s v="DORARALT4T-;31/12/2020"/>
    <s v="DORARALT4T-;31/12/2027"/>
    <s v="RALTEGRAVIR potassique [RAL], éq. 400 mg base, comp.(Zhejiang Huahai Pharmaceutical Co.Ltd, China):168C18006"/>
    <x v="19"/>
    <s v="31/12/2027"/>
    <d v="2027-12-31T00:00:00"/>
    <x v="0"/>
    <n v="0"/>
    <n v="582"/>
    <n v="0"/>
    <n v="0"/>
  </r>
  <r>
    <x v="1"/>
    <d v="2019-05-28T00:00:00"/>
    <d v="2026-05-28T00:00:00"/>
    <n v="1980"/>
    <s v="Each"/>
    <n v="33"/>
    <s v="Box/Carton"/>
    <n v="4.0000000000000001E-3"/>
    <n v="1.7999999999999999E-2"/>
    <n v="1832"/>
    <s v="Health"/>
    <s v="DORARALT4T-;31/01/2021"/>
    <s v="DORARALT4T-;31/01/2028"/>
    <s v="RALTEGRAVIR potassique [RAL], éq. 400 mg base, comp.(Zhejiang Huahai Pharmaceutical Co.Ltd, China):168C18007"/>
    <x v="19"/>
    <s v="31/01/2028"/>
    <d v="2028-01-31T00:00:00"/>
    <x v="0"/>
    <n v="0"/>
    <n v="613"/>
    <n v="0"/>
    <n v="0"/>
  </r>
  <r>
    <x v="1"/>
    <d v="2019-05-28T00:00:00"/>
    <d v="2026-05-28T00:00:00"/>
    <n v="137160"/>
    <s v="Each"/>
    <n v="2286"/>
    <s v="Box/Carton"/>
    <n v="0.27"/>
    <n v="1.2410000000000001"/>
    <n v="126873"/>
    <s v="Health"/>
    <s v="DORARALT4T-;28/02/2021"/>
    <s v="DORARALT4T-;28/02/2028"/>
    <s v="RALTEGRAVIR potassique [RAL], éq. 400 mg base, comp.(Zhejiang Huahai Pharmaceutical Co.Ltd, China):168C18009"/>
    <x v="19"/>
    <s v="28/02/2028"/>
    <d v="2028-02-28T00:00:00"/>
    <x v="0"/>
    <n v="0"/>
    <n v="641"/>
    <n v="0"/>
    <n v="0"/>
  </r>
  <r>
    <x v="1"/>
    <d v="2019-05-28T00:00:00"/>
    <d v="2026-05-28T00:00:00"/>
    <n v="10276"/>
    <s v="Each"/>
    <n v="734"/>
    <s v="Box/Carton"/>
    <n v="1.028"/>
    <n v="0.28799999999999998"/>
    <n v="389"/>
    <s v="Health"/>
    <s v=";31/05/2020"/>
    <s v=";31/05/2027"/>
    <s v="NYSTATINE, 100.000 UI, vaginal comp.(Macléods Pharmaceuticals Ltd, India)"/>
    <x v="4"/>
    <s v="31/05/2027"/>
    <d v="2027-05-31T00:00:00"/>
    <x v="0"/>
    <n v="0"/>
    <n v="368"/>
    <n v="0"/>
    <n v="0"/>
  </r>
  <r>
    <x v="1"/>
    <d v="2019-05-28T00:00:00"/>
    <d v="2026-05-28T00:00:00"/>
    <n v="111"/>
    <s v="Each"/>
    <n v="111"/>
    <s v="None/Loose"/>
    <n v="1.2E-2"/>
    <n v="0.03"/>
    <n v="56"/>
    <s v="Health"/>
    <s v="DORANYST1S-;30/11/2020"/>
    <s v="DORANYST1S-;30/11/2027"/>
    <s v="Nystatin,100,000 IU/ml, susp oral.(Universal Corporation Ltd, Netherland)"/>
    <x v="64"/>
    <s v="30/11/2027"/>
    <d v="2027-11-30T00:00:00"/>
    <x v="0"/>
    <n v="0"/>
    <n v="551"/>
    <n v="0"/>
    <n v="0"/>
  </r>
  <r>
    <x v="1"/>
    <d v="2019-05-28T00:00:00"/>
    <d v="2026-05-28T00:00:00"/>
    <n v="627800"/>
    <s v="Each"/>
    <n v="10463"/>
    <s v="Box/Carton"/>
    <n v="0.52300000000000002"/>
    <n v="2.8250000000000002"/>
    <n v="36622"/>
    <s v="Health"/>
    <s v="DORAABLA1TD;31/08/2019"/>
    <s v="DORAABLA1TD;31/08/2026"/>
    <s v="ABC 60 mg / 3TC 30 mg, comp. disp.(MYLAN LAB LTD,INDIA)"/>
    <x v="65"/>
    <s v="31/08/2026"/>
    <d v="2026-08-31T00:00:00"/>
    <x v="2"/>
    <n v="188356.36363636301"/>
    <n v="95"/>
    <n v="99.991312405884727"/>
    <n v="95"/>
  </r>
  <r>
    <x v="1"/>
    <d v="2019-05-28T00:00:00"/>
    <d v="2026-05-28T00:00:00"/>
    <n v="393600"/>
    <s v="Each"/>
    <n v="6560"/>
    <s v="Box/Carton"/>
    <n v="0.32800000000000001"/>
    <n v="1.7709999999999999"/>
    <n v="22960"/>
    <s v="Health"/>
    <s v="DORAABLA1TD;31/08/2019"/>
    <s v="DORAABLA1TD;31/08/2026"/>
    <s v="ABC 60 mg / 3TC 30 mg, comp. disp.(MYLAN LAB LTD,INDIA)"/>
    <x v="65"/>
    <s v="31/08/2026"/>
    <d v="2026-08-31T00:00:00"/>
    <x v="2"/>
    <n v="188356.36363636301"/>
    <n v="95"/>
    <n v="62.689679138190876"/>
    <n v="62.689679138190876"/>
  </r>
  <r>
    <x v="1"/>
    <d v="2019-05-28T00:00:00"/>
    <d v="2026-05-28T00:00:00"/>
    <n v="407880"/>
    <s v="Each"/>
    <n v="6798"/>
    <s v="Box/Carton"/>
    <n v="0.38700000000000001"/>
    <n v="1.264"/>
    <n v="22094"/>
    <s v="Health"/>
    <s v="DORAYILN1TD;31/08/2022"/>
    <s v="DORAYILN1TD;31/08/2029"/>
    <s v="AZT 60 mg / 3TC 30 mg / NVP 50 mg, comp. dispersible(MYLAN LAB LTD,INDIA)"/>
    <x v="66"/>
    <s v="31/08/2029"/>
    <d v="2029-08-31T00:00:00"/>
    <x v="2"/>
    <n v="107056.36363636363"/>
    <n v="1191"/>
    <n v="114.29867019921537"/>
    <n v="114.29867019921537"/>
  </r>
  <r>
    <x v="1"/>
    <d v="2019-05-28T00:00:00"/>
    <d v="2026-05-28T00:00:00"/>
    <n v="450"/>
    <s v="Each"/>
    <n v="450"/>
    <s v="None/Loose"/>
    <n v="1.4E-2"/>
    <n v="0.19700000000000001"/>
    <n v="76"/>
    <s v="Health"/>
    <s v="DINJPENB2VS;31/03/2020"/>
    <s v="DINJPENB2VS;31/03/2027"/>
    <s v="BENZATHINE BENZYLPENICILLINE, 2,4 M UI, poudre, fl.+solvant(CSPC Zhongnu Pharma Co. Ltd,China)"/>
    <x v="67"/>
    <s v="31/03/2027"/>
    <d v="2027-03-31T00:00:00"/>
    <x v="0"/>
    <n v="0"/>
    <n v="307"/>
    <n v="0"/>
    <n v="0"/>
  </r>
  <r>
    <x v="1"/>
    <d v="2019-05-28T00:00:00"/>
    <d v="2026-05-28T00:00:00"/>
    <n v="40"/>
    <s v="Each"/>
    <n v="40"/>
    <s v="None/Loose"/>
    <n v="0.55000000000000004"/>
    <n v="0.93200000000000005"/>
    <n v="2200"/>
    <s v="Health"/>
    <s v="ELAECENEH3-;N/A"/>
    <s v="ELAECENEH3-;"/>
    <s v="CENTRIFUGEUSE à hématocrite électr.(Centurion Scientific Ltd, U.K)"/>
    <x v="68"/>
    <s v=""/>
    <s v=""/>
    <x v="0"/>
    <n v="0"/>
    <n v="0"/>
    <n v="0"/>
    <n v="0"/>
  </r>
  <r>
    <x v="1"/>
    <d v="2019-05-28T00:00:00"/>
    <d v="2026-05-28T00:00:00"/>
    <n v="18800"/>
    <s v="Each"/>
    <n v="188"/>
    <s v="Box/Carton"/>
    <n v="2.3E-2"/>
    <n v="9.4E-2"/>
    <n v="414"/>
    <s v="Health"/>
    <s v="DORACIPR5T-;30/04/2021"/>
    <s v="DORACIPR5T-;30/04/2028"/>
    <s v="CIPROFLOXACINE chlorhydrate, éq. 500 mg base, comp.(Medopharma,India)"/>
    <x v="69"/>
    <s v="30/04/2028"/>
    <d v="2028-04-30T00:00:00"/>
    <x v="0"/>
    <n v="0"/>
    <n v="703"/>
    <n v="0"/>
    <n v="0"/>
  </r>
  <r>
    <x v="1"/>
    <d v="2019-05-28T00:00:00"/>
    <d v="2026-05-28T00:00:00"/>
    <n v="45000"/>
    <s v="Each"/>
    <n v="45"/>
    <s v="Box/Carton"/>
    <n v="2.1000000000000001E-2"/>
    <n v="6.5000000000000002E-2"/>
    <n v="1247"/>
    <s v="Health"/>
    <s v="DORACLOX5C-;30/04/2020"/>
    <s v="DORACLOX5C-;30/04/2027"/>
    <s v="CLOXACILLINE sodique, éq. 500 mg base, gél.(Medopharma,India)"/>
    <x v="70"/>
    <s v="30/04/2027"/>
    <d v="2027-04-30T00:00:00"/>
    <x v="0"/>
    <n v="0"/>
    <n v="337"/>
    <n v="0"/>
    <n v="0"/>
  </r>
  <r>
    <x v="1"/>
    <d v="2019-05-28T00:00:00"/>
    <d v="2026-05-28T00:00:00"/>
    <n v="201500"/>
    <s v="Each"/>
    <n v="403"/>
    <s v="Box/Carton"/>
    <n v="0.28199999999999997"/>
    <n v="1.8939999999999999"/>
    <n v="3325"/>
    <s v="Health"/>
    <s v="DORACOTR8T-;31/08/2021"/>
    <s v="DORACOTR8T-;31/08/2028"/>
    <s v="COTRIMOXAZOLE, 800 mg / 160 mg, comp.(Medopharma,India)"/>
    <x v="71"/>
    <s v="31/08/2028"/>
    <d v="2028-08-31T00:00:00"/>
    <x v="2"/>
    <n v="287000"/>
    <n v="826"/>
    <n v="21.062717770034844"/>
    <n v="21.062717770034844"/>
  </r>
  <r>
    <x v="1"/>
    <d v="2019-05-28T00:00:00"/>
    <d v="2026-05-28T00:00:00"/>
    <n v="2000"/>
    <s v="Each"/>
    <n v="4"/>
    <s v="Box/Carton"/>
    <n v="3.0000000000000001E-3"/>
    <n v="1.9E-2"/>
    <n v="33"/>
    <s v="Health"/>
    <s v="DORACOTR8T-;31/08/2021"/>
    <s v="DORACOTR8T-;31/08/2028"/>
    <s v="COTRIMOXAZOLE, 800 mg / 160 mg, comp.(Medopharma,India)"/>
    <x v="71"/>
    <s v="31/08/2028"/>
    <d v="2028-08-31T00:00:00"/>
    <x v="2"/>
    <n v="287000"/>
    <n v="826"/>
    <n v="0.20905923344947736"/>
    <n v="0.20905923344947736"/>
  </r>
  <r>
    <x v="1"/>
    <d v="2019-05-28T00:00:00"/>
    <d v="2026-05-28T00:00:00"/>
    <n v="4980"/>
    <s v="Each"/>
    <n v="9"/>
    <s v="Box/Carton"/>
    <n v="1E-3"/>
    <n v="7.0000000000000001E-3"/>
    <n v="57"/>
    <s v="Health"/>
    <s v="DORADOXY1T-;30/10/2019"/>
    <s v="DORADOXY1T-;30/10/2026"/>
    <s v="DOXYCYCLINE sel, éq. 100 mg base, comp.(Medopharma,India)"/>
    <x v="72"/>
    <s v="30/10/2026"/>
    <d v="2026-10-30T00:00:00"/>
    <x v="0"/>
    <n v="0"/>
    <n v="155"/>
    <n v="0"/>
    <n v="0"/>
  </r>
  <r>
    <x v="1"/>
    <d v="2019-05-28T00:00:00"/>
    <d v="2026-05-28T00:00:00"/>
    <n v="45"/>
    <s v="Each"/>
    <n v="45"/>
    <s v="None/Loose"/>
    <n v="5.3999999999999999E-2"/>
    <n v="0.113"/>
    <n v="175"/>
    <s v="Health"/>
    <s v="SLASETHA9B1;30/04/2021"/>
    <s v="SLASETHA9B1;30/04/2028"/>
    <s v="ETHANOL, dénaturé, 95%, 1 l, fl.(Denteck , Netherlands)"/>
    <x v="73"/>
    <s v="30/04/2028"/>
    <d v="2028-04-30T00:00:00"/>
    <x v="0"/>
    <n v="0"/>
    <n v="703"/>
    <n v="0"/>
    <n v="0"/>
  </r>
  <r>
    <x v="1"/>
    <d v="2019-05-28T00:00:00"/>
    <d v="2026-05-28T00:00:00"/>
    <n v="34"/>
    <s v="Each"/>
    <n v="34"/>
    <s v="None/Loose"/>
    <n v="0.17299999999999999"/>
    <n v="0.17299999999999999"/>
    <n v="909"/>
    <s v="Health"/>
    <s v=";31/05/2019"/>
    <s v=";31/05/2026"/>
    <s v="WASH REAGENT COBAS 5L(Roche Molecular Système Inc,USA)"/>
    <x v="4"/>
    <s v="31/05/2026"/>
    <d v="2026-05-31T00:00:00"/>
    <x v="0"/>
    <n v="0"/>
    <n v="3"/>
    <n v="0"/>
    <n v="0"/>
  </r>
  <r>
    <x v="1"/>
    <d v="2019-05-28T00:00:00"/>
    <d v="2026-05-28T00:00:00"/>
    <n v="900"/>
    <s v="Each"/>
    <n v="30"/>
    <s v="Box/Carton"/>
    <n v="4.0000000000000001E-3"/>
    <n v="3.0000000000000001E-3"/>
    <n v="207"/>
    <s v="Health"/>
    <s v="DORAPYRM2T-;31/01/2020"/>
    <s v="DORAPYRM2T-;31/01/2027"/>
    <s v="PYRIMETHAMINE, 25 mg, comp.(Mylan Lab Limited,India)"/>
    <x v="74"/>
    <s v="31/01/2027"/>
    <d v="2027-01-31T00:00:00"/>
    <x v="0"/>
    <n v="0"/>
    <n v="248"/>
    <n v="0"/>
    <n v="0"/>
  </r>
  <r>
    <x v="1"/>
    <d v="2019-05-28T00:00:00"/>
    <d v="2026-05-28T00:00:00"/>
    <n v="7950"/>
    <s v="Each"/>
    <n v="265"/>
    <s v="Box/Carton"/>
    <n v="3.2000000000000001E-2"/>
    <n v="2.4E-2"/>
    <n v="1831"/>
    <s v="Health"/>
    <s v="DORAPYRM2T-;31/08/2019"/>
    <s v="DORAPYRM2T-;31/08/2026"/>
    <s v="PYRIMETHAMINE, 25 mg, comp.(Mylan Lab Limited,India)"/>
    <x v="74"/>
    <s v="31/08/2026"/>
    <d v="2026-08-31T00:00:00"/>
    <x v="0"/>
    <n v="0"/>
    <n v="95"/>
    <n v="0"/>
    <n v="0"/>
  </r>
  <r>
    <x v="1"/>
    <d v="2019-05-28T00:00:00"/>
    <d v="2026-05-28T00:00:00"/>
    <n v="1650"/>
    <s v="Each"/>
    <n v="55"/>
    <s v="Box/Carton"/>
    <n v="7.0000000000000001E-3"/>
    <n v="5.0000000000000001E-3"/>
    <n v="380"/>
    <s v="Health"/>
    <s v="DORAPYRM2T-;31/08/2019"/>
    <s v="DORAPYRM2T-;31/08/2026"/>
    <s v="PYRIMETHAMINE, 25 mg, comp.(Mylan Lab Limited,India)"/>
    <x v="74"/>
    <s v="31/08/2026"/>
    <d v="2026-08-31T00:00:00"/>
    <x v="0"/>
    <n v="0"/>
    <n v="95"/>
    <n v="0"/>
    <n v="0"/>
  </r>
  <r>
    <x v="1"/>
    <d v="2019-05-28T00:00:00"/>
    <d v="2026-05-28T00:00:00"/>
    <n v="2340"/>
    <s v="Each"/>
    <n v="78"/>
    <s v="Box/Carton"/>
    <n v="8.9999999999999993E-3"/>
    <n v="7.0000000000000001E-3"/>
    <n v="539"/>
    <s v="Health"/>
    <s v="DORAPYRM2T-;31/08/2019"/>
    <s v="DORAPYRM2T-;31/08/2026"/>
    <s v="PYRIMETHAMINE, 25 mg, comp.(GloxoSmithKline UK)"/>
    <x v="74"/>
    <s v="31/08/2026"/>
    <d v="2026-08-31T00:00:00"/>
    <x v="0"/>
    <n v="0"/>
    <n v="95"/>
    <n v="0"/>
    <n v="0"/>
  </r>
  <r>
    <x v="1"/>
    <d v="2019-05-28T00:00:00"/>
    <d v="2026-05-28T00:00:00"/>
    <n v="4890"/>
    <s v="Each"/>
    <n v="489"/>
    <s v="Box/Carton"/>
    <n v="0.127"/>
    <n v="0.223"/>
    <n v="807"/>
    <s v="Health"/>
    <s v="DINJCEFT1V-;31/07/2020"/>
    <s v="DINJCEFT1V-;31/07/2027"/>
    <s v="CEFTRIAXONE sodique, éq. 1 g base, poudre, fl.(Reyoung Pharma Co., Ltd., China)"/>
    <x v="75"/>
    <s v="31/07/2027"/>
    <d v="2027-07-31T00:00:00"/>
    <x v="0"/>
    <n v="0"/>
    <n v="429"/>
    <n v="0"/>
    <n v="0"/>
  </r>
  <r>
    <x v="1"/>
    <d v="2019-05-28T00:00:00"/>
    <d v="2026-05-28T00:00:00"/>
    <n v="30"/>
    <s v="Each"/>
    <n v="0"/>
    <s v="Box/Carton"/>
    <n v="0"/>
    <n v="0"/>
    <n v="1"/>
    <s v="Health"/>
    <s v="DORANEVI5TD;30/10/2019"/>
    <s v="DORANEVI5TD;30/10/2026"/>
    <s v="NEVIRAPINE [NVP], 50 mg, comp. disp.(CIPLA Ltd, INDIA)"/>
    <x v="76"/>
    <s v="30/10/2026"/>
    <d v="2026-10-30T00:00:00"/>
    <x v="2"/>
    <n v="6643.636363636364"/>
    <n v="155"/>
    <n v="0.1354679802955665"/>
    <n v="0.1354679802955665"/>
  </r>
  <r>
    <x v="1"/>
    <d v="2019-05-28T00:00:00"/>
    <d v="2026-05-28T00:00:00"/>
    <n v="4103"/>
    <s v="Each"/>
    <n v="4103"/>
    <s v="Kit/Set"/>
    <n v="0.626"/>
    <n v="1.2999999999999999E-2"/>
    <n v="5129"/>
    <s v="Health"/>
    <s v="DORANEVI1S1;31/08/2020"/>
    <s v="DORANEVI1S1;31/08/2027"/>
    <s v="NEVIRAPINE [NVP], 50mg/5ml, susp. orale, 100 ml, fl.(CIPLA LTD,INDIA)"/>
    <x v="77"/>
    <s v="31/08/2027"/>
    <d v="2027-08-31T00:00:00"/>
    <x v="0"/>
    <n v="0"/>
    <n v="460"/>
    <n v="0"/>
    <n v="0"/>
  </r>
  <r>
    <x v="1"/>
    <d v="2019-05-28T00:00:00"/>
    <d v="2026-05-28T00:00:00"/>
    <n v="1057"/>
    <s v="Each"/>
    <n v="1057"/>
    <s v="Kit/Set"/>
    <n v="0.127"/>
    <n v="0.38"/>
    <n v="1628"/>
    <s v="Health"/>
    <s v="DORAAMOC2S6;31/01/2020"/>
    <s v="DORAAMOC2S6;31/01/2027"/>
    <s v="AMOXICILLINE 250 mg / ac. CLAVULANIQUE 62.5mg/5ml pwd f 100.fl(Micro Labs Ltd. VeerasandraIndia)"/>
    <x v="78"/>
    <s v="31/01/2027"/>
    <d v="2027-01-31T00:00:00"/>
    <x v="0"/>
    <n v="0"/>
    <n v="248"/>
    <n v="0"/>
    <n v="0"/>
  </r>
  <r>
    <x v="1"/>
    <d v="2019-05-28T00:00:00"/>
    <d v="2026-05-28T00:00:00"/>
    <n v="84370"/>
    <s v="Each"/>
    <n v="8437"/>
    <s v="Kit/Set"/>
    <n v="3.4000000000000002E-2"/>
    <n v="0.10100000000000001"/>
    <n v="541"/>
    <s v="Health"/>
    <s v="DORACOTR1TD;30/11/2019"/>
    <s v="DORACOTR1TD;30/11/2026"/>
    <s v="COTRIMOXAZOLE, 100 mg / 20 mg, comp. disp.(Micro Labs Hosur,India)"/>
    <x v="79"/>
    <s v="30/11/2026"/>
    <d v="2026-11-30T00:00:00"/>
    <x v="2"/>
    <n v="49727.272727272699"/>
    <n v="186"/>
    <n v="50.89963436928705"/>
    <n v="50.89963436928705"/>
  </r>
  <r>
    <x v="1"/>
    <d v="2019-05-28T00:00:00"/>
    <d v="2026-05-28T00:00:00"/>
    <n v="294000"/>
    <s v="Each"/>
    <n v="29400"/>
    <s v="Kit/Set"/>
    <n v="0.11799999999999999"/>
    <n v="0.35299999999999998"/>
    <n v="1885"/>
    <s v="Health"/>
    <s v="DORACOTR1TD;30/04/2020"/>
    <s v="DORACOTR1TD;30/04/2027"/>
    <s v="COTRIMOXAZOLE, 100 mg / 20 mg, comp. disp.(Micro Labs Hosur,India)"/>
    <x v="79"/>
    <s v="30/04/2027"/>
    <d v="2027-04-30T00:00:00"/>
    <x v="2"/>
    <n v="49727.272727272699"/>
    <n v="337"/>
    <n v="177.36745886654489"/>
    <n v="177.36745886654489"/>
  </r>
  <r>
    <x v="1"/>
    <d v="2019-05-28T00:00:00"/>
    <d v="2026-05-28T00:00:00"/>
    <n v="4100"/>
    <s v="Each"/>
    <n v="41"/>
    <s v="Bag/Sack"/>
    <n v="9.8000000000000004E-2"/>
    <n v="0.26900000000000002"/>
    <n v="183"/>
    <s v="Health"/>
    <s v="DORAORSA2S-;28/02/2022"/>
    <s v="DORAORSA2S-;28/02/2029"/>
    <s v="SELS REHYDRATATION ORALE [SRO]basse osmol. sachet 20,5 g/1l(N.V Pharma,India)"/>
    <x v="80"/>
    <s v="28/02/2029"/>
    <d v="2029-02-28T00:00:00"/>
    <x v="0"/>
    <n v="0"/>
    <n v="1007"/>
    <n v="0"/>
    <n v="0"/>
  </r>
  <r>
    <x v="1"/>
    <d v="2019-05-28T00:00:00"/>
    <d v="2026-05-28T00:00:00"/>
    <n v="2400"/>
    <s v="Each"/>
    <n v="24"/>
    <s v="Bag/Sack"/>
    <n v="5.8000000000000003E-2"/>
    <n v="0.157"/>
    <n v="107"/>
    <s v="Health"/>
    <s v="DORAORSA2S-;31/03/2022"/>
    <s v="DORAORSA2S-;31/03/2029"/>
    <s v="SELS REHYDRATATION ORALE [SRO]basse osmol. sachet 20,5 g/1l(N.V Pharma,India)"/>
    <x v="80"/>
    <s v="31/03/2029"/>
    <d v="2029-03-31T00:00:00"/>
    <x v="0"/>
    <n v="0"/>
    <n v="1038"/>
    <n v="0"/>
    <n v="0"/>
  </r>
  <r>
    <x v="1"/>
    <d v="2019-05-28T00:00:00"/>
    <d v="2026-05-28T00:00:00"/>
    <n v="92000"/>
    <s v="Each"/>
    <n v="92"/>
    <s v="Box/Carton"/>
    <n v="0.01"/>
    <n v="0.03"/>
    <n v="284"/>
    <s v="Health"/>
    <s v="DORALOPE2T-;30/04/2021"/>
    <s v="DORALOPE2T-;30/04/2028"/>
    <s v="LOPERAMIDE chlorhydrate, 2mg, comp.(Medopharm Malur, India)"/>
    <x v="81"/>
    <s v="30/04/2028"/>
    <d v="2028-04-30T00:00:00"/>
    <x v="0"/>
    <n v="0"/>
    <n v="703"/>
    <n v="0"/>
    <n v="0"/>
  </r>
  <r>
    <x v="1"/>
    <d v="2019-05-28T00:00:00"/>
    <d v="2026-05-28T00:00:00"/>
    <n v="37400"/>
    <s v="Each"/>
    <n v="374"/>
    <s v="Box/Carton"/>
    <n v="5.6000000000000001E-2"/>
    <n v="0.17699999999999999"/>
    <n v="2203"/>
    <s v="Health"/>
    <s v="DORAERYT5T-;31/03/2021"/>
    <s v="DORAERYT5T-;31/03/2028"/>
    <s v="ERYTHROMYCINE stéarate, eq. 500 mg base, comp.(Medopharma Malur,India)"/>
    <x v="82"/>
    <s v="31/03/2028"/>
    <d v="2028-03-31T00:00:00"/>
    <x v="0"/>
    <n v="0"/>
    <n v="673"/>
    <n v="0"/>
    <n v="0"/>
  </r>
  <r>
    <x v="1"/>
    <d v="2019-05-28T00:00:00"/>
    <d v="2026-05-28T00:00:00"/>
    <n v="1800"/>
    <s v="Each"/>
    <n v="180"/>
    <s v="Box/Carton"/>
    <n v="4.7E-2"/>
    <n v="8.2000000000000003E-2"/>
    <n v="329"/>
    <s v="Health"/>
    <s v="DINJCEFT1V-;31/01/2021"/>
    <s v="DINJCEFT1V-;31/01/2028"/>
    <s v="CEFTRIAXONE sodique, éq. 1 g base, poudre, fl.(Reyoung Pharma Co., Ltd., China)"/>
    <x v="75"/>
    <s v="31/01/2028"/>
    <d v="2028-01-31T00:00:00"/>
    <x v="0"/>
    <n v="0"/>
    <n v="613"/>
    <n v="0"/>
    <n v="0"/>
  </r>
  <r>
    <x v="1"/>
    <d v="2019-05-28T00:00:00"/>
    <d v="2026-05-28T00:00:00"/>
    <n v="1250"/>
    <s v="Each"/>
    <n v="1250"/>
    <s v="Kit/Set"/>
    <n v="8.0000000000000002E-3"/>
    <n v="2.3E-2"/>
    <n v="1201"/>
    <s v="Health"/>
    <s v="DORAMETN2S-;01/09/2020"/>
    <s v="DORAMETN2S-;01/09/2027"/>
    <s v="METRONIDAZOLE benzoate, eq 200mg/5ml base, susp. orale, 100ml(Purna Pharmaceuticals NV, Belgium)"/>
    <x v="83"/>
    <s v="01/09/2027"/>
    <d v="2027-09-01T00:00:00"/>
    <x v="0"/>
    <n v="0"/>
    <n v="461"/>
    <n v="0"/>
    <n v="0"/>
  </r>
  <r>
    <x v="1"/>
    <d v="2019-05-28T00:00:00"/>
    <d v="2026-05-28T00:00:00"/>
    <n v="73000"/>
    <s v="Each"/>
    <n v="73"/>
    <s v="Box/Carton"/>
    <n v="6.0999999999999999E-2"/>
    <n v="0.10199999999999999"/>
    <n v="1086"/>
    <s v="Health"/>
    <s v="DORAMETN5T-;30/09/2020"/>
    <s v="DORAMETN5T-;30/09/2027"/>
    <s v="METRONIDAZOLE, 500 mg, comp.(Medopharma Malur,India)"/>
    <x v="84"/>
    <s v="30/09/2027"/>
    <d v="2027-09-30T00:00:00"/>
    <x v="0"/>
    <n v="0"/>
    <n v="490"/>
    <n v="0"/>
    <n v="0"/>
  </r>
  <r>
    <x v="1"/>
    <d v="2019-05-28T00:00:00"/>
    <d v="2026-05-28T00:00:00"/>
    <n v="180000"/>
    <s v="Each"/>
    <n v="180"/>
    <s v="Box/Carton"/>
    <n v="8.5000000000000006E-2"/>
    <n v="0.28000000000000003"/>
    <n v="6138"/>
    <s v="Health"/>
    <s v="DORACLOX5C-;31/03/2021"/>
    <s v="DORACLOX5C-;31/03/2028"/>
    <s v="CLOXACILLINE sodique, éq. 500 mg base, gél.(Medopharma,India)"/>
    <x v="70"/>
    <s v="31/03/2028"/>
    <d v="2028-03-31T00:00:00"/>
    <x v="0"/>
    <n v="0"/>
    <n v="673"/>
    <n v="0"/>
    <n v="0"/>
  </r>
  <r>
    <x v="1"/>
    <d v="2019-05-28T00:00:00"/>
    <d v="2026-05-28T00:00:00"/>
    <n v="37860"/>
    <s v="Each"/>
    <n v="631"/>
    <s v="Box/Carton"/>
    <n v="8.2000000000000003E-2"/>
    <n v="0.24399999999999999"/>
    <n v="3748"/>
    <s v="Health"/>
    <s v="DORALPVR4T-;31/08/2020"/>
    <s v="DORALPVR4T-;31/08/2027"/>
    <s v="LPV 100mg / r 25mg, comp.(Mylan Lab Limited,India)"/>
    <x v="85"/>
    <s v="31/08/2027"/>
    <d v="2027-08-31T00:00:00"/>
    <x v="2"/>
    <n v="74001.818181818177"/>
    <n v="460"/>
    <n v="15.348271541239775"/>
    <n v="15.348271541239775"/>
  </r>
  <r>
    <x v="1"/>
    <d v="2019-05-28T00:00:00"/>
    <d v="2026-05-28T00:00:00"/>
    <n v="5000"/>
    <s v="Each"/>
    <n v="500"/>
    <s v="Box/Carton"/>
    <n v="0.13"/>
    <n v="0.22800000000000001"/>
    <n v="775"/>
    <s v="Health"/>
    <s v="DINJCEFT1V-;30/10/2021"/>
    <s v="DINJCEFT1V-;30/10/2028"/>
    <s v="CEFTRIAXONE sodique, éq. 1 g base, poudre, fl.(NCPC Hebei Huamin Pharma Co,China)"/>
    <x v="75"/>
    <s v="30/10/2028"/>
    <d v="2028-10-30T00:00:00"/>
    <x v="0"/>
    <n v="0"/>
    <n v="886"/>
    <n v="0"/>
    <n v="0"/>
  </r>
  <r>
    <x v="1"/>
    <d v="2019-05-28T00:00:00"/>
    <d v="2026-05-28T00:00:00"/>
    <n v="90720"/>
    <s v="Each"/>
    <n v="1008"/>
    <s v="Box/Carton"/>
    <n v="0.115"/>
    <n v="0.251"/>
    <n v="9374"/>
    <s v="Health"/>
    <s v="DORAEFAV2TB;30/11/2021"/>
    <s v="DORAEFAV2TB;30/11/2028"/>
    <s v="EFAVIRENZ [EFV], 200 mg, comp. séc.(Strides Shasun  Limited,India)"/>
    <x v="86"/>
    <s v="30/11/2028"/>
    <d v="2028-11-30T00:00:00"/>
    <x v="2"/>
    <n v="17541.81818181818"/>
    <n v="917"/>
    <n v="155.14925373134329"/>
    <n v="155.14925373134329"/>
  </r>
  <r>
    <x v="1"/>
    <d v="2019-05-28T00:00:00"/>
    <d v="2026-05-28T00:00:00"/>
    <n v="1765"/>
    <s v="Each"/>
    <n v="1765"/>
    <s v="Kit/Set"/>
    <n v="0.251"/>
    <n v="0.72"/>
    <n v="3671"/>
    <s v="Health"/>
    <s v="DORAAMOC2S6;31/01/2021"/>
    <s v="DORAAMOC2S6;31/01/2028"/>
    <s v="AMOXICILLINE 250 mg / ac. CLAVULANIQUE 62.5mg/5ml pwd f 100.fl(Medochemie Ltd, Cyprus)"/>
    <x v="78"/>
    <s v="31/01/2028"/>
    <d v="2028-01-31T00:00:00"/>
    <x v="0"/>
    <n v="0"/>
    <n v="613"/>
    <n v="0"/>
    <n v="0"/>
  </r>
  <r>
    <x v="1"/>
    <d v="2019-05-28T00:00:00"/>
    <d v="2026-05-28T00:00:00"/>
    <n v="1000"/>
    <s v="Each"/>
    <n v="1"/>
    <s v="Box/Carton"/>
    <n v="1E-3"/>
    <n v="2E-3"/>
    <n v="9"/>
    <s v="Health"/>
    <s v="DORACOTR4T-;31/07/2021"/>
    <s v="DORACOTR4T-;31/07/2028"/>
    <s v="COTRIMOXAZOLE, 400 mg / 80 mg, comp.(Medopharma,India):7H164"/>
    <x v="87"/>
    <s v="31/07/2028"/>
    <d v="2028-07-31T00:00:00"/>
    <x v="0"/>
    <n v="0"/>
    <n v="795"/>
    <n v="0"/>
    <n v="0"/>
  </r>
  <r>
    <x v="1"/>
    <d v="2019-05-28T00:00:00"/>
    <d v="2026-05-28T00:00:00"/>
    <n v="20"/>
    <s v="Each"/>
    <n v="20"/>
    <s v="Box/Carton"/>
    <n v="3.0000000000000001E-3"/>
    <n v="0"/>
    <n v="25"/>
    <s v="Health"/>
    <s v="DORANEVI1S1;31/08/2020"/>
    <s v="DORANEVI1S1;31/08/2027"/>
    <s v="NEVIRAPINE [NVP], 50mg/5ml, susp. orale, 100 ml, fl.(CIPLA LTD,INDIA):IA80534"/>
    <x v="77"/>
    <s v="31/08/2027"/>
    <d v="2027-08-31T00:00:00"/>
    <x v="0"/>
    <n v="0"/>
    <n v="460"/>
    <n v="0"/>
    <n v="0"/>
  </r>
  <r>
    <x v="1"/>
    <d v="2019-05-28T00:00:00"/>
    <d v="2026-05-28T00:00:00"/>
    <n v="2"/>
    <s v="Each"/>
    <n v="0"/>
    <s v="Box/Carton"/>
    <n v="1E-3"/>
    <n v="2E-3"/>
    <n v="0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4.9059689288634507E-3"/>
    <n v="4.9059689288634507E-3"/>
  </r>
  <r>
    <x v="1"/>
    <d v="2019-05-28T00:00:00"/>
    <d v="2026-05-28T00:00:00"/>
    <n v="810"/>
    <s v="Each"/>
    <n v="40"/>
    <s v="Box/Carton"/>
    <n v="0.47599999999999998"/>
    <n v="0.82599999999999996"/>
    <n v="178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1.9869174161896974"/>
    <n v="1.9869174161896974"/>
  </r>
  <r>
    <x v="1"/>
    <d v="2019-05-28T00:00:00"/>
    <d v="2026-05-28T00:00:00"/>
    <n v="4880"/>
    <s v="Each"/>
    <n v="244"/>
    <s v="Box/Carton"/>
    <n v="2.867"/>
    <n v="5.3680000000000003"/>
    <n v="1074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11.970564186426818"/>
    <n v="11.970564186426818"/>
  </r>
  <r>
    <x v="1"/>
    <d v="2019-05-28T00:00:00"/>
    <d v="2026-05-28T00:00:00"/>
    <n v="535"/>
    <s v="Each"/>
    <n v="535"/>
    <s v="None/Loose"/>
    <n v="0.27800000000000002"/>
    <n v="1.5409999999999999"/>
    <n v="915"/>
    <s v="Health"/>
    <s v="SDRECOTW5R-;28/02/2022"/>
    <s v="SDRECOTW5R-;28/02/2029"/>
    <s v="COTON hydrophile, rouleau, 500 g(Suzhou Hengxiang Imp. &amp; Exp.Co, Ltd, china)"/>
    <x v="0"/>
    <s v="28/02/2029"/>
    <d v="2029-02-28T00:00:00"/>
    <x v="0"/>
    <n v="0"/>
    <n v="1007"/>
    <n v="0"/>
    <n v="0"/>
  </r>
  <r>
    <x v="1"/>
    <d v="2019-05-28T00:00:00"/>
    <d v="2026-05-28T00:00:00"/>
    <n v="2740"/>
    <s v="Each"/>
    <n v="91"/>
    <s v="Box/Carton"/>
    <n v="5.0000000000000001E-3"/>
    <n v="3.6999999999999998E-2"/>
    <n v="247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4.3144314918189611E-2"/>
    <n v="4.3144314918189611E-2"/>
  </r>
  <r>
    <x v="1"/>
    <d v="2019-05-28T00:00:00"/>
    <d v="2026-05-28T00:00:00"/>
    <n v="242880"/>
    <s v="Each"/>
    <n v="8096"/>
    <s v="Box/Carton"/>
    <n v="0.42099999999999999"/>
    <n v="3.238"/>
    <n v="21859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3.8244128493904719"/>
    <n v="3.8244128493904719"/>
  </r>
  <r>
    <x v="1"/>
    <d v="2019-05-28T00:00:00"/>
    <d v="2026-05-28T00:00:00"/>
    <n v="499200"/>
    <s v="Each"/>
    <n v="16640"/>
    <s v="Box/Carton"/>
    <n v="0.86499999999999999"/>
    <n v="6.6559999999999997"/>
    <n v="44928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7.8604532872847646"/>
    <n v="7.8604532872847646"/>
  </r>
  <r>
    <x v="1"/>
    <d v="2019-05-28T00:00:00"/>
    <d v="2026-05-28T00:00:00"/>
    <n v="141600"/>
    <s v="Each"/>
    <n v="4720"/>
    <s v="Box/Carton"/>
    <n v="0.245"/>
    <n v="1.8879999999999999"/>
    <n v="12744"/>
    <s v="Health"/>
    <s v="DORASULP5T-;31/07/2022"/>
    <s v="DORASULP5T-;31/07/2029"/>
    <s v="SULFADOXINE, 500 mg / PYRIMETHAMINE, 25 mg, comp.(Remedica Ltd,Chypre)"/>
    <x v="89"/>
    <s v="31/07/2029"/>
    <d v="2029-07-31T00:00:00"/>
    <x v="3"/>
    <n v="1905233.63636363"/>
    <n v="1160"/>
    <n v="2.2296478074509665"/>
    <n v="2.2296478074509665"/>
  </r>
  <r>
    <x v="1"/>
    <d v="2019-05-28T00:00:00"/>
    <d v="2026-05-28T00:00:00"/>
    <n v="1395"/>
    <s v="Each"/>
    <n v="1395"/>
    <s v="None/Loose"/>
    <n v="1.2999999999999999E-2"/>
    <n v="0.13500000000000001"/>
    <n v="117"/>
    <s v="Health"/>
    <s v="SINSIVPP20-;28/02/2022"/>
    <s v="SINSIVPP20-;28/02/2029"/>
    <s v="CATHETER IV, site d'injection, u.u. 20 G [1,0 x 32 mm], rose(La-med Health Pvt. Ltd,India)"/>
    <x v="90"/>
    <s v="28/02/2029"/>
    <d v="2029-02-28T00:00:00"/>
    <x v="0"/>
    <n v="0"/>
    <n v="1007"/>
    <n v="0"/>
    <n v="0"/>
  </r>
  <r>
    <x v="1"/>
    <d v="2019-05-28T00:00:00"/>
    <d v="2026-05-28T00:00:00"/>
    <n v="29715"/>
    <s v="Each"/>
    <n v="29715"/>
    <s v="None/Loose"/>
    <n v="0.26400000000000001"/>
    <n v="2.867"/>
    <n v="2496"/>
    <s v="Health"/>
    <s v="SINSIVPP22-;28/02/2022"/>
    <s v="SINSIVPP22-;28/02/2029"/>
    <s v="CATHETER IV, site d'injection, u.u. 22 G [ 0,8 x 25 mm] bleu(La-med Health Pvt. Ltd,India)"/>
    <x v="91"/>
    <s v="28/02/2029"/>
    <d v="2029-02-28T00:00:00"/>
    <x v="0"/>
    <n v="0"/>
    <n v="1007"/>
    <n v="0"/>
    <n v="0"/>
  </r>
  <r>
    <x v="1"/>
    <d v="2019-05-28T00:00:00"/>
    <d v="2026-05-28T00:00:00"/>
    <n v="667"/>
    <s v="Litre"/>
    <n v="667"/>
    <s v="None/Loose"/>
    <n v="0.8"/>
    <n v="1.6679999999999999"/>
    <n v="2101"/>
    <s v="Health"/>
    <s v="SLASETHA9B1;"/>
    <s v="SLASETHA9B1;"/>
    <s v="ETHANOL, dénaturé, 95%, 1 l, fl.(Pharmaceutique francaise)"/>
    <x v="73"/>
    <s v=""/>
    <s v=""/>
    <x v="0"/>
    <n v="0"/>
    <n v="0"/>
    <n v="0"/>
    <n v="0"/>
  </r>
  <r>
    <x v="1"/>
    <d v="2019-05-28T00:00:00"/>
    <d v="2026-05-28T00:00:00"/>
    <n v="221"/>
    <s v="Litre"/>
    <n v="44"/>
    <s v="Drum/Barrel"/>
    <n v="5.2999999999999999E-2"/>
    <n v="0.111"/>
    <n v="672"/>
    <s v="Health"/>
    <s v="SLASETHA7B1;"/>
    <s v="SLASETHA7B1;"/>
    <s v="ETHANOL, dénaturé, 70%, [bidon de 5l](Pharmaceutique francaise)"/>
    <x v="92"/>
    <s v=""/>
    <s v=""/>
    <x v="0"/>
    <n v="0"/>
    <n v="0"/>
    <n v="0"/>
    <n v="0"/>
  </r>
  <r>
    <x v="1"/>
    <d v="2019-05-28T00:00:00"/>
    <d v="2026-05-28T00:00:00"/>
    <n v="300"/>
    <s v="Each"/>
    <n v="3"/>
    <s v="Box/Carton"/>
    <n v="0"/>
    <n v="0.03"/>
    <n v="3"/>
    <s v="Health"/>
    <s v="ELABCOVG22-;31/10/2020"/>
    <s v="ELABCOVG22-;31/10/2027"/>
    <s v="LAMELLE COUVRE-OBJET, 22 x 22 mm(Hebei Medecine- Health Products,China)"/>
    <x v="93"/>
    <s v="31/10/2027"/>
    <d v="2027-10-31T00:00:00"/>
    <x v="0"/>
    <n v="0"/>
    <n v="521"/>
    <n v="0"/>
    <n v="0"/>
  </r>
  <r>
    <x v="1"/>
    <d v="2019-05-28T00:00:00"/>
    <d v="2026-05-28T00:00:00"/>
    <n v="24025"/>
    <s v="Each"/>
    <n v="24025"/>
    <s v="None/Loose"/>
    <n v="0.84099999999999997"/>
    <n v="7.1109999999999998"/>
    <n v="3364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1"/>
    <d v="2019-05-28T00:00:00"/>
    <d v="2026-05-28T00:00:00"/>
    <n v="47330"/>
    <s v="Each"/>
    <n v="47330"/>
    <s v="None/Loose"/>
    <n v="0.44"/>
    <n v="4.5670000000000002"/>
    <n v="3976"/>
    <s v="Health"/>
    <s v="SINSIVPP18-;28/02/2022"/>
    <s v="SINSIVPP18-;28/02/2029"/>
    <s v="CATHETER IV, site d'injection, u.u. 18 G [1,2 x 45 mm], vert(La-Med Healthcare Pvt. Ltd,India)"/>
    <x v="95"/>
    <s v="28/02/2029"/>
    <d v="2029-02-28T00:00:00"/>
    <x v="0"/>
    <n v="0"/>
    <n v="1007"/>
    <n v="0"/>
    <n v="0"/>
  </r>
  <r>
    <x v="1"/>
    <d v="2019-05-28T00:00:00"/>
    <d v="2026-05-28T00:00:00"/>
    <n v="33280"/>
    <s v="Each"/>
    <n v="33280"/>
    <s v="None/Loose"/>
    <n v="0.309"/>
    <n v="3.2120000000000002"/>
    <n v="2796"/>
    <s v="Health"/>
    <s v="SINSIVPP20-;28/02/2022"/>
    <s v="SINSIVPP20-;28/02/2029"/>
    <s v="CATHETER IV, site d'injection, u.u. 20 G [1,0 x 32 mm], rose(La-Med Healthcare Pvt. Ltd,India)"/>
    <x v="90"/>
    <s v="28/02/2029"/>
    <d v="2029-02-28T00:00:00"/>
    <x v="0"/>
    <n v="0"/>
    <n v="1007"/>
    <n v="0"/>
    <n v="0"/>
  </r>
  <r>
    <x v="1"/>
    <d v="2019-05-28T00:00:00"/>
    <d v="2026-05-28T00:00:00"/>
    <n v="2000"/>
    <s v="Each"/>
    <n v="2000"/>
    <s v="None/Loose"/>
    <n v="1.7999999999999999E-2"/>
    <n v="0.193"/>
    <n v="168"/>
    <s v="Health"/>
    <s v="SINSIVPP22-;28/02/2022"/>
    <s v="SINSIVPP22-;28/02/2029"/>
    <s v="CATHETER IV, site d'injection, u.u. 22 G [0,8 x 25 mm] bleu(La-Med Healthcare Pvt. Ltd,India)"/>
    <x v="91"/>
    <s v="28/02/2029"/>
    <d v="2029-02-28T00:00:00"/>
    <x v="0"/>
    <n v="0"/>
    <n v="1007"/>
    <n v="0"/>
    <n v="0"/>
  </r>
  <r>
    <x v="1"/>
    <d v="2019-05-28T00:00:00"/>
    <d v="2026-05-28T00:00:00"/>
    <n v="66022"/>
    <s v="Each"/>
    <n v="660"/>
    <s v="Box/Carton"/>
    <n v="0.64900000000000002"/>
    <n v="5.2889999999999997"/>
    <n v="2258"/>
    <s v="Health"/>
    <s v="SINSSYDL10-;31/10/2020"/>
    <s v="SINSSYDL10-;31/10/2027"/>
    <s v="SERINGUE, u.u., Luer, 10 ml(Suzhou Hengxiang Co Ltd,China)"/>
    <x v="96"/>
    <s v="31/10/2027"/>
    <d v="2027-10-31T00:00:00"/>
    <x v="0"/>
    <n v="0"/>
    <n v="521"/>
    <n v="0"/>
    <n v="0"/>
  </r>
  <r>
    <x v="1"/>
    <d v="2019-05-28T00:00:00"/>
    <d v="2026-05-28T00:00:00"/>
    <n v="15750"/>
    <s v="Each"/>
    <n v="315"/>
    <s v="Box/Carton"/>
    <n v="8.1000000000000003E-2"/>
    <n v="4.4999999999999998E-2"/>
    <n v="302"/>
    <s v="Health"/>
    <s v="ELABSLID1FT;31/10/2020"/>
    <s v="ELABSLID1FT;31/10/2027"/>
    <s v="LAME PORTE-OBJETS, dépolie, 76 x 26 mm,emballage tropicalisé(Ral Diagnostic)"/>
    <x v="97"/>
    <s v="31/10/2027"/>
    <d v="2027-10-31T00:00:00"/>
    <x v="0"/>
    <n v="0"/>
    <n v="521"/>
    <n v="0"/>
    <n v="0"/>
  </r>
  <r>
    <x v="1"/>
    <d v="2019-05-28T00:00:00"/>
    <d v="2026-05-28T00:00:00"/>
    <n v="70"/>
    <s v="Each"/>
    <n v="70"/>
    <s v="None/Loose"/>
    <n v="1.2999999999999999E-2"/>
    <n v="7.2999999999999995E-2"/>
    <n v="429"/>
    <s v="Health"/>
    <s v="SLASOILI2B5;28/02/2022"/>
    <s v="SLASOILI2B5;28/02/2029"/>
    <s v="HUILE IMMERSION, 250 ml, fl. compte-gouttes(Gainland Chemical CO UK.)"/>
    <x v="98"/>
    <s v="28/02/2029"/>
    <d v="2029-02-28T00:00:00"/>
    <x v="0"/>
    <n v="0"/>
    <n v="1007"/>
    <n v="0"/>
    <n v="0"/>
  </r>
  <r>
    <x v="1"/>
    <d v="2019-05-28T00:00:00"/>
    <d v="2026-05-28T00:00:00"/>
    <n v="30"/>
    <s v="Each"/>
    <n v="1"/>
    <s v="Bag/Sack"/>
    <n v="1E-3"/>
    <n v="8.9999999999999993E-3"/>
    <n v="26"/>
    <s v="Health"/>
    <s v="DORAARLU3T1;31/05/2019"/>
    <s v="DORAARLU3T1;31/05/2026"/>
    <s v="AL 20/120 mg, blister de 18 comp., 25-34 kg(Ajanta pharma Ltd,India)"/>
    <x v="99"/>
    <s v="31/05/2026"/>
    <d v="2026-05-31T00:00:00"/>
    <x v="3"/>
    <n v="41269.090909090912"/>
    <n v="3"/>
    <n v="2.1808088818398096E-2"/>
    <n v="2.1808088818398096E-2"/>
  </r>
  <r>
    <x v="1"/>
    <d v="2019-05-28T00:00:00"/>
    <d v="2026-05-28T00:00:00"/>
    <n v="189125"/>
    <s v="Each"/>
    <n v="7565"/>
    <s v="Box/Carton"/>
    <n v="2.4209999999999998"/>
    <n v="15.13"/>
    <n v="41608"/>
    <s v="Health"/>
    <s v="SSDTMALP25T2;31/01/2021"/>
    <s v="SSDTMALP25T2;31/01/2028"/>
    <s v="TEST MALARIA HRP-2/pan pLDH, st,1test [CareStart RMRM-02571](Access Bio,Inc.USA)"/>
    <x v="100"/>
    <s v="31/01/2028"/>
    <d v="2028-01-31T00:00:00"/>
    <x v="3"/>
    <n v="735190.90909090894"/>
    <n v="613"/>
    <n v="7.7173832399747759"/>
    <n v="7.7173832399747759"/>
  </r>
  <r>
    <x v="1"/>
    <d v="2019-05-28T00:00:00"/>
    <d v="2026-05-28T00:00:00"/>
    <n v="486500"/>
    <s v="Each"/>
    <n v="4865"/>
    <s v="Bag/Sack"/>
    <n v="0.42699999999999999"/>
    <n v="1.5049999999999999"/>
    <n v="39407"/>
    <s v="Health"/>
    <s v="DORASULP5T-;31/03/2023"/>
    <s v="DORASULP5T-;31/03/2030"/>
    <s v="SULFADOXINE, 500 mg / PYRIMETHAMINE, 25 mg, comp.(Remedica Ltd,Chypre)"/>
    <x v="89"/>
    <s v="31/03/2030"/>
    <d v="2030-03-31T00:00:00"/>
    <x v="3"/>
    <n v="1905233.63636363"/>
    <n v="1403"/>
    <n v="7.6604778130289217"/>
    <n v="7.6604778130289217"/>
  </r>
  <r>
    <x v="1"/>
    <d v="2019-05-28T00:00:00"/>
    <d v="2026-05-28T00:00:00"/>
    <n v="109200"/>
    <s v="Each"/>
    <n v="1092"/>
    <s v="Box/Carton"/>
    <n v="9.6000000000000002E-2"/>
    <n v="0.33800000000000002"/>
    <n v="8845"/>
    <s v="Health"/>
    <s v="DORASULP5T-;31/03/2023"/>
    <s v="DORASULP5T-;31/03/2030"/>
    <s v="SULFADOXINE, 500 mg / PYRIMETHAMINE, 25 mg, comp.(Remedica Ltd,Chypre)"/>
    <x v="89"/>
    <s v="31/03/2030"/>
    <d v="2030-03-31T00:00:00"/>
    <x v="3"/>
    <n v="1905233.63636363"/>
    <n v="1403"/>
    <n v="1.7194741565935421"/>
    <n v="1.7194741565935421"/>
  </r>
  <r>
    <x v="1"/>
    <d v="2019-05-28T00:00:00"/>
    <d v="2026-05-28T00:00:00"/>
    <n v="107580"/>
    <s v="Each"/>
    <n v="3586"/>
    <s v="Box/Carton"/>
    <n v="0.92200000000000004"/>
    <n v="4.8289999999999997"/>
    <n v="30122"/>
    <s v="Health"/>
    <s v="DORAARLU1TD1;31/01/2021"/>
    <s v="DORAARLU1TD1;31/01/2028"/>
    <s v="AL 20/120 mg, blister de 6 comp. disp., 5-14 kg(Ajanta pharma Limited,India):PA0459B"/>
    <x v="101"/>
    <s v="31/01/2028"/>
    <d v="2028-01-31T00:00:00"/>
    <x v="3"/>
    <n v="45469.090909090912"/>
    <n v="613"/>
    <n v="70.980086372360844"/>
    <n v="70.980086372360844"/>
  </r>
  <r>
    <x v="1"/>
    <d v="2019-05-28T00:00:00"/>
    <d v="2026-05-28T00:00:00"/>
    <n v="31500"/>
    <s v="Each"/>
    <n v="1050"/>
    <s v="Box/Carton"/>
    <n v="0.14499999999999999"/>
    <n v="0.92400000000000004"/>
    <n v="9450"/>
    <s v="Health"/>
    <s v="DORAARLU1TD1;30/09/2020"/>
    <s v="DORAARLU1TD1;30/09/2027"/>
    <s v="AL 20/120 mg, blister de 6 comp. disp., 5-14 kg(CIPLA LTD, India):ID83327"/>
    <x v="101"/>
    <s v="30/09/2027"/>
    <d v="2027-09-30T00:00:00"/>
    <x v="3"/>
    <n v="45469.090909090912"/>
    <n v="490"/>
    <n v="20.783349328214971"/>
    <n v="20.783349328214971"/>
  </r>
  <r>
    <x v="1"/>
    <d v="2019-05-28T00:00:00"/>
    <d v="2026-05-28T00:00:00"/>
    <n v="57500"/>
    <s v="Each"/>
    <n v="2300"/>
    <s v="Box/Carton"/>
    <n v="0.69"/>
    <n v="2.09"/>
    <n v="9775"/>
    <s v="Health"/>
    <s v="SSDTMALP25T2;31/01/2021"/>
    <s v="SSDTMALP25T2;31/01/2028"/>
    <s v="TEST MALARIA Pf [HRP-2] Ag RDT, st,1test [CareStart RMOM-02571](Access Bio,Inc.USA):MO18H62"/>
    <x v="100"/>
    <s v="31/01/2028"/>
    <d v="2028-01-31T00:00:00"/>
    <x v="3"/>
    <n v="735190.90909090894"/>
    <n v="613"/>
    <n v="2.3463293393181739"/>
    <n v="2.3463293393181739"/>
  </r>
  <r>
    <x v="1"/>
    <d v="2019-05-28T00:00:00"/>
    <d v="2026-05-28T00:00:00"/>
    <n v="201"/>
    <s v="Each"/>
    <n v="201"/>
    <s v="None/Loose"/>
    <n v="2E-3"/>
    <n v="1.9E-2"/>
    <n v="17"/>
    <s v="Health"/>
    <s v="SINSIVPP22-;28/02/2022"/>
    <s v="SINSIVPP22-;28/02/2029"/>
    <s v="CATHETER IV, site d'injection, u.u. 22 G [ 0,8 x 25 mm] bleu(La-med Health Pvt. Ltd,India):1703010"/>
    <x v="91"/>
    <s v="28/02/2029"/>
    <d v="2029-02-28T00:00:00"/>
    <x v="0"/>
    <n v="0"/>
    <n v="1007"/>
    <n v="0"/>
    <n v="0"/>
  </r>
  <r>
    <x v="1"/>
    <d v="2019-05-28T00:00:00"/>
    <d v="2026-05-28T00:00:00"/>
    <n v="1670"/>
    <s v="Each"/>
    <n v="1670"/>
    <s v="None/Loose"/>
    <n v="3.0000000000000001E-3"/>
    <n v="2.1000000000000001E-2"/>
    <n v="144"/>
    <s v="Health"/>
    <s v="DORASULP5T-;31/07/2022"/>
    <s v="DORASULP5T-;31/07/2029"/>
    <s v="SULFADOXINE, 500 mg / PYRIMETHAMINE, 25 mg, comp.(Remedica Ltd,Chypre):73199"/>
    <x v="89"/>
    <s v="31/07/2029"/>
    <d v="2029-07-31T00:00:00"/>
    <x v="3"/>
    <n v="1905233.63636363"/>
    <n v="1160"/>
    <n v="2.6295987559626512E-2"/>
    <n v="2.6295987559626512E-2"/>
  </r>
  <r>
    <x v="1"/>
    <d v="2019-05-28T00:00:00"/>
    <d v="2026-05-28T00:00:00"/>
    <n v="210"/>
    <s v="Each"/>
    <n v="7"/>
    <s v="Box/Carton"/>
    <n v="0"/>
    <n v="3.0000000000000001E-3"/>
    <n v="19"/>
    <s v="Health"/>
    <s v="DORASULP5T-;31/07/2022"/>
    <s v="DORASULP5T-;31/07/2029"/>
    <s v="SULFADOXINE, 500 mg / PYRIMETHAMINE, 25 mg, comp.(Remedica Ltd,Chypre):73203"/>
    <x v="89"/>
    <s v="31/07/2029"/>
    <d v="2029-07-31T00:00:00"/>
    <x v="3"/>
    <n v="1905233.63636363"/>
    <n v="1160"/>
    <n v="3.3066810703721965E-3"/>
    <n v="3.3066810703721965E-3"/>
  </r>
  <r>
    <x v="1"/>
    <d v="2019-05-28T00:00:00"/>
    <d v="2026-05-28T00:00:00"/>
    <n v="4980"/>
    <s v="Each"/>
    <n v="166"/>
    <s v="Box/Carton"/>
    <n v="3.1E-2"/>
    <n v="0.14599999999999999"/>
    <n v="2241"/>
    <s v="Health"/>
    <s v="DORAARLU2TD1;30/09/2020"/>
    <s v="DORAARLU2TD1;30/09/2027"/>
    <s v="AL 20/120 mg, blister de 12 comp. disp., 15-24 kg(CIPLA LTD,India):ID83325"/>
    <x v="102"/>
    <s v="30/09/2027"/>
    <d v="2027-09-30T00:00:00"/>
    <x v="3"/>
    <n v="41561.181818181816"/>
    <n v="490"/>
    <n v="3.5947004744374671"/>
    <n v="3.5947004744374671"/>
  </r>
  <r>
    <x v="1"/>
    <d v="2019-05-28T00:00:00"/>
    <d v="2026-05-28T00:00:00"/>
    <n v="94500"/>
    <s v="Each"/>
    <n v="3150"/>
    <s v="Box/Carton"/>
    <n v="0.58799999999999997"/>
    <n v="2.7719999999999998"/>
    <n v="42525"/>
    <s v="Health"/>
    <s v="DORAARLU2TD1;30/09/2020"/>
    <s v="DORAARLU2TD1;30/09/2027"/>
    <s v="AL 20/120 mg, blister de 12 comp. disp., 15-24 kg(CIPLA LTD,India):ID83324"/>
    <x v="102"/>
    <s v="30/09/2027"/>
    <d v="2027-09-30T00:00:00"/>
    <x v="3"/>
    <n v="41561.181818181816"/>
    <n v="490"/>
    <n v="68.212689725771199"/>
    <n v="68.212689725771199"/>
  </r>
  <r>
    <x v="1"/>
    <d v="2019-05-28T00:00:00"/>
    <d v="2026-05-28T00:00:00"/>
    <n v="300"/>
    <s v="Each"/>
    <n v="10"/>
    <s v="Box/Carton"/>
    <n v="3.0000000000000001E-3"/>
    <n v="1.4999999999999999E-2"/>
    <n v="159"/>
    <s v="Health"/>
    <s v="DORAARLU3T1;30/09/2021"/>
    <s v="DORAARLU3T1;30/09/2028"/>
    <s v="AL 20/120 mg, blister de 18 comp., 25-34 kg(OXALIS LABS,India):NAA8647A"/>
    <x v="99"/>
    <s v="30/09/2028"/>
    <d v="2028-09-30T00:00:00"/>
    <x v="3"/>
    <n v="41269.090909090912"/>
    <n v="856"/>
    <n v="0.21808088818398094"/>
    <n v="0.21808088818398094"/>
  </r>
  <r>
    <x v="1"/>
    <d v="2019-05-28T00:00:00"/>
    <d v="2026-05-28T00:00:00"/>
    <n v="15270"/>
    <s v="Each"/>
    <n v="509"/>
    <s v="Box/Carton"/>
    <n v="0.13600000000000001"/>
    <n v="0.75"/>
    <n v="8088"/>
    <s v="Health"/>
    <s v="DORAARLU3T1;30/09/2021"/>
    <s v="DORAARLU3T1;30/09/2028"/>
    <s v="AL 20/120 mg, blister de 18 comp., 25-34 kg(OXALIS LABS,India):NAA8650A"/>
    <x v="99"/>
    <s v="30/09/2028"/>
    <d v="2028-09-30T00:00:00"/>
    <x v="3"/>
    <n v="41269.090909090912"/>
    <n v="856"/>
    <n v="11.100317208564631"/>
    <n v="11.100317208564631"/>
  </r>
  <r>
    <x v="1"/>
    <d v="2019-05-28T00:00:00"/>
    <d v="2026-05-28T00:00:00"/>
    <n v="54450"/>
    <s v="Each"/>
    <n v="1815"/>
    <s v="Box/Carton"/>
    <n v="0.48499999999999999"/>
    <n v="2.6760000000000002"/>
    <n v="28840"/>
    <s v="Health"/>
    <s v="DORAARLU3T1;30/09/2021"/>
    <s v="DORAARLU3T1;30/09/2028"/>
    <s v="AL 20/120 mg, blister de 18 comp., 25-34 kg(OXALIS LABS,India):NAA8659A"/>
    <x v="99"/>
    <s v="30/09/2028"/>
    <d v="2028-09-30T00:00:00"/>
    <x v="3"/>
    <n v="41269.090909090912"/>
    <n v="856"/>
    <n v="39.581681205392542"/>
    <n v="39.581681205392542"/>
  </r>
  <r>
    <x v="1"/>
    <d v="2019-05-28T00:00:00"/>
    <d v="2026-05-28T00:00:00"/>
    <n v="240"/>
    <s v="Each"/>
    <n v="8"/>
    <s v="Box/Carton"/>
    <n v="2E-3"/>
    <n v="1.2E-2"/>
    <n v="163"/>
    <s v="Health"/>
    <s v="DORAARLU4T1;30/09/2021"/>
    <s v="DORAARLU4T1;30/09/2028"/>
    <s v="AL 20/120 mg, blister de 24 comp., &gt;35 kg (OXALIS LABS,India):NAA8643B"/>
    <x v="103"/>
    <s v="30/09/2028"/>
    <d v="2028-09-30T00:00:00"/>
    <x v="3"/>
    <n v="61593.727272727272"/>
    <n v="856"/>
    <n v="0.11689502030165411"/>
    <n v="0.11689502030165411"/>
  </r>
  <r>
    <x v="1"/>
    <d v="2019-05-28T00:00:00"/>
    <d v="2026-05-28T00:00:00"/>
    <n v="180"/>
    <s v="Each"/>
    <n v="6"/>
    <s v="Box/Carton"/>
    <n v="2E-3"/>
    <n v="8.9999999999999993E-3"/>
    <n v="122"/>
    <s v="Health"/>
    <s v="DORAARLU4T1;30/09/2021"/>
    <s v="DORAARLU4T1;30/09/2028"/>
    <s v="AL 20/120 mg, blister de 24 comp., &gt;35 kg (OXALIS LABS,India):NAA8642A"/>
    <x v="103"/>
    <s v="30/09/2028"/>
    <d v="2028-09-30T00:00:00"/>
    <x v="3"/>
    <n v="61593.727272727272"/>
    <n v="856"/>
    <n v="8.7671265226240566E-2"/>
    <n v="8.7671265226240566E-2"/>
  </r>
  <r>
    <x v="1"/>
    <d v="2019-05-28T00:00:00"/>
    <d v="2026-05-28T00:00:00"/>
    <n v="900"/>
    <s v="Each"/>
    <n v="30"/>
    <s v="Box/Carton"/>
    <n v="8.9999999999999993E-3"/>
    <n v="4.2999999999999997E-2"/>
    <n v="611"/>
    <s v="Health"/>
    <s v="DORAARLU4T1;30/09/2021"/>
    <s v="DORAARLU4T1;30/09/2028"/>
    <s v="AL 20/120 mg, blister de 24 comp., &gt;35 kg (OXALIS LABS,India):NAA8644A"/>
    <x v="103"/>
    <s v="30/09/2028"/>
    <d v="2028-09-30T00:00:00"/>
    <x v="3"/>
    <n v="61593.727272727272"/>
    <n v="856"/>
    <n v="0.43835632613120284"/>
    <n v="0.43835632613120284"/>
  </r>
  <r>
    <x v="1"/>
    <d v="2019-05-28T00:00:00"/>
    <d v="2026-05-28T00:00:00"/>
    <n v="28350"/>
    <s v="Each"/>
    <n v="945"/>
    <s v="Box/Carton"/>
    <n v="0.29299999999999998"/>
    <n v="1.37"/>
    <n v="19250"/>
    <s v="Health"/>
    <s v="DORAARLU4T1;30/09/2021"/>
    <s v="DORAARLU4T1;30/09/2028"/>
    <s v="AL 20/120 mg, blister de 24 comp., &gt;35 kg (OXALIS LABS,India):NAA8648A"/>
    <x v="103"/>
    <s v="30/09/2028"/>
    <d v="2028-09-30T00:00:00"/>
    <x v="3"/>
    <n v="61593.727272727272"/>
    <n v="856"/>
    <n v="13.80822427313289"/>
    <n v="13.80822427313289"/>
  </r>
  <r>
    <x v="1"/>
    <d v="2019-05-28T00:00:00"/>
    <d v="2026-05-28T00:00:00"/>
    <n v="40680"/>
    <s v="Each"/>
    <n v="1352"/>
    <s v="Box/Carton"/>
    <n v="0.42"/>
    <n v="1.96"/>
    <n v="27622"/>
    <s v="Health"/>
    <s v="DORAARLU4T1;30/09/2021"/>
    <s v="DORAARLU4T1;30/09/2028"/>
    <s v="AL 20/120 mg, blister de 24 comp., &gt;35 kg (OXALIS LABS,India):NAA8649A"/>
    <x v="103"/>
    <s v="30/09/2028"/>
    <d v="2028-09-30T00:00:00"/>
    <x v="3"/>
    <n v="61593.727272727272"/>
    <n v="856"/>
    <n v="19.813705941130369"/>
    <n v="19.813705941130369"/>
  </r>
  <r>
    <x v="1"/>
    <d v="2019-05-28T00:00:00"/>
    <d v="2026-05-28T00:00:00"/>
    <n v="40620"/>
    <s v="Each"/>
    <n v="1354"/>
    <s v="Box/Carton"/>
    <n v="0.42"/>
    <n v="1.96"/>
    <n v="27581"/>
    <s v="Health"/>
    <s v="DORAARLU4T1;30/09/2021"/>
    <s v="DORAARLU4T1;30/09/2028"/>
    <s v="AL 20/120 mg, blister de 24 comp., &gt;35 kg (OXALIS LABS,India):NAA8651A"/>
    <x v="103"/>
    <s v="30/09/2028"/>
    <d v="2028-09-30T00:00:00"/>
    <x v="3"/>
    <n v="61593.727272727272"/>
    <n v="856"/>
    <n v="19.784482186054959"/>
    <n v="19.784482186054959"/>
  </r>
  <r>
    <x v="1"/>
    <d v="2019-05-28T00:00:00"/>
    <d v="2026-05-28T00:00:00"/>
    <n v="40710"/>
    <s v="Each"/>
    <n v="1357"/>
    <s v="Box/Carton"/>
    <n v="0.42"/>
    <n v="1.96"/>
    <n v="27642"/>
    <s v="Health"/>
    <s v="DORAARLU4T1;30/09/2021"/>
    <s v="DORAARLU4T1;30/09/2028"/>
    <s v="AL 20/120 mg, blister de 24 comp., &gt;35 kg (OXALIS LABS,India):NAA8652A"/>
    <x v="103"/>
    <s v="30/09/2028"/>
    <d v="2028-09-30T00:00:00"/>
    <x v="3"/>
    <n v="61593.727272727272"/>
    <n v="856"/>
    <n v="19.828317818668076"/>
    <n v="19.828317818668076"/>
  </r>
  <r>
    <x v="1"/>
    <d v="2019-05-28T00:00:00"/>
    <d v="2026-05-28T00:00:00"/>
    <n v="41010"/>
    <s v="Each"/>
    <n v="1367"/>
    <s v="Bag/Sack"/>
    <n v="0.42399999999999999"/>
    <n v="2.0099999999999998"/>
    <n v="27846"/>
    <s v="Health"/>
    <s v="DORAARLU4T1;30/09/2021"/>
    <s v="DORAARLU4T1;30/09/2028"/>
    <s v="AL 20/120 mg, blister de 24 comp., &gt;35 kg (OXALIS LABS,India):NAA8653A"/>
    <x v="103"/>
    <s v="30/09/2028"/>
    <d v="2028-09-30T00:00:00"/>
    <x v="3"/>
    <n v="61593.727272727272"/>
    <n v="856"/>
    <n v="19.974436594045144"/>
    <n v="19.974436594045144"/>
  </r>
  <r>
    <x v="1"/>
    <d v="2019-05-28T00:00:00"/>
    <d v="2026-05-28T00:00:00"/>
    <n v="40890"/>
    <s v="Each"/>
    <n v="1363"/>
    <s v="Box/Carton"/>
    <n v="0.42299999999999999"/>
    <n v="2.0099999999999998"/>
    <n v="27764"/>
    <s v="Health"/>
    <s v="DORAARLU4T1;30/09/2021"/>
    <s v="DORAARLU4T1;30/09/2028"/>
    <s v="AL 20/120 mg, blister de 24 comp., &gt;35 kg (OXALIS LABS,India):NAA8654A"/>
    <x v="103"/>
    <s v="30/09/2028"/>
    <d v="2028-09-30T00:00:00"/>
    <x v="3"/>
    <n v="61593.727272727272"/>
    <n v="856"/>
    <n v="19.915989083894317"/>
    <n v="19.915989083894317"/>
  </r>
  <r>
    <x v="1"/>
    <d v="2019-05-28T00:00:00"/>
    <d v="2026-05-28T00:00:00"/>
    <n v="40860"/>
    <s v="Each"/>
    <n v="1362"/>
    <s v="Box/Carton"/>
    <n v="0.42199999999999999"/>
    <n v="2.0099999999999998"/>
    <n v="27744"/>
    <s v="Health"/>
    <s v="DORAARLU4T1;30/09/2021"/>
    <s v="DORAARLU4T1;30/09/2028"/>
    <s v="AL 20/120 mg, blister de 24 comp., &gt;35 kg (OXALIS LABS,India):NAA8655A"/>
    <x v="103"/>
    <s v="30/09/2028"/>
    <d v="2028-09-30T00:00:00"/>
    <x v="3"/>
    <n v="61593.727272727272"/>
    <n v="856"/>
    <n v="19.90137720635661"/>
    <n v="19.90137720635661"/>
  </r>
  <r>
    <x v="1"/>
    <d v="2019-05-28T00:00:00"/>
    <d v="2026-05-28T00:00:00"/>
    <n v="40380"/>
    <s v="Each"/>
    <n v="1346"/>
    <s v="Box/Carton"/>
    <n v="0.41699999999999998"/>
    <n v="1.96"/>
    <n v="27418"/>
    <s v="Health"/>
    <s v="DORAARLU4T1;30/09/2021"/>
    <s v="DORAARLU4T1;30/09/2028"/>
    <s v="AL 20/120 mg, blister de 24 comp., &gt;35 kg (OXALIS LABS,India):NAA8656A"/>
    <x v="103"/>
    <s v="30/09/2028"/>
    <d v="2028-09-30T00:00:00"/>
    <x v="3"/>
    <n v="61593.727272727272"/>
    <n v="856"/>
    <n v="19.6675871657533"/>
    <n v="19.6675871657533"/>
  </r>
  <r>
    <x v="1"/>
    <d v="2019-05-28T00:00:00"/>
    <d v="2026-05-28T00:00:00"/>
    <n v="40800"/>
    <s v="Each"/>
    <n v="1360"/>
    <s v="Box/Carton"/>
    <n v="0.42199999999999999"/>
    <n v="1.96"/>
    <n v="27703"/>
    <s v="Health"/>
    <s v="DORAARLU4T1;30/09/2021"/>
    <s v="DORAARLU4T1;30/09/2028"/>
    <s v="AL 20/120 mg, blister de 24 comp., &gt;35 kg (OXALIS LABS,India):NAA8657A"/>
    <x v="103"/>
    <s v="30/09/2028"/>
    <d v="2028-09-30T00:00:00"/>
    <x v="3"/>
    <n v="61593.727272727272"/>
    <n v="856"/>
    <n v="19.872153451281196"/>
    <n v="19.872153451281196"/>
  </r>
  <r>
    <x v="1"/>
    <d v="2019-05-28T00:00:00"/>
    <d v="2026-05-28T00:00:00"/>
    <n v="40860"/>
    <s v="Each"/>
    <n v="1362"/>
    <s v="Box/Carton"/>
    <n v="0.42199999999999999"/>
    <n v="2.0099999999999998"/>
    <n v="27744"/>
    <s v="Health"/>
    <s v="DORAARLU4T1;30/09/2021"/>
    <s v="DORAARLU4T1;30/09/2028"/>
    <s v="AL 20/120 mg, blister de 24 comp., &gt;35 kg (OXALIS LABS,India):NAA8658A"/>
    <x v="103"/>
    <s v="30/09/2028"/>
    <d v="2028-09-30T00:00:00"/>
    <x v="3"/>
    <n v="61593.727272727272"/>
    <n v="856"/>
    <n v="19.90137720635661"/>
    <n v="19.90137720635661"/>
  </r>
  <r>
    <x v="1"/>
    <d v="2019-05-28T00:00:00"/>
    <d v="2026-05-28T00:00:00"/>
    <n v="14541"/>
    <s v="Each"/>
    <n v="14541"/>
    <s v="Box/Carton"/>
    <n v="0.72699999999999998"/>
    <n v="3.6469999999999998"/>
    <n v="21084"/>
    <s v="Health"/>
    <s v="DINJARTS6V-;25/06/2021"/>
    <s v="DINJARTS6V-;25/06/2028"/>
    <s v="ARTESUNATE 60 mg, poudre, fl +NaHCO3 5% 1ml +NaCl 0.9% 5ml(Guilin Pharmaceutical Co. Ltd,China):LA181126"/>
    <x v="104"/>
    <s v="25/06/2028"/>
    <d v="2028-06-25T00:00:00"/>
    <x v="3"/>
    <n v="1132520.9090909001"/>
    <n v="759"/>
    <n v="0.38518494139783399"/>
    <n v="0.38518494139783399"/>
  </r>
  <r>
    <x v="1"/>
    <d v="2019-05-28T00:00:00"/>
    <d v="2026-05-28T00:00:00"/>
    <n v="12800"/>
    <s v="Each"/>
    <n v="12800"/>
    <s v="Box/Carton"/>
    <n v="0.64"/>
    <n v="3.21"/>
    <n v="18560"/>
    <s v="Health"/>
    <s v="DINJARTS6V-;25/06/2021"/>
    <s v="DINJARTS6V-;25/06/2028"/>
    <s v="ARTESUNATE 60 mg, poudre, fl +NaHCO3 5% 1ml +NaCl 0.9% 5ml(Guilin Pharmaceutical Co. Ltd,China):LA181125"/>
    <x v="104"/>
    <s v="25/06/2028"/>
    <d v="2028-06-25T00:00:00"/>
    <x v="3"/>
    <n v="1132520.9090909001"/>
    <n v="759"/>
    <n v="0.33906658757253799"/>
    <n v="0.33906658757253799"/>
  </r>
  <r>
    <x v="1"/>
    <d v="2019-05-28T00:00:00"/>
    <d v="2026-05-28T00:00:00"/>
    <n v="52800"/>
    <s v="Each"/>
    <n v="52800"/>
    <s v="Box/Carton"/>
    <n v="2.64"/>
    <n v="13.242000000000001"/>
    <n v="76560"/>
    <s v="Health"/>
    <s v="DINJARTS6V-;27/06/2021"/>
    <s v="DINJARTS6V-;27/06/2028"/>
    <s v="ARTESUNATE 60 mg, poudre, fl +NaHCO3 5% 1ml +NaCl 0.9% 5ml(Guilin Pharmaceutical Co. Ltd,China):LA181131"/>
    <x v="104"/>
    <s v="27/06/2028"/>
    <d v="2028-06-27T00:00:00"/>
    <x v="3"/>
    <n v="1132520.9090909001"/>
    <n v="761"/>
    <n v="1.3986496737367191"/>
    <n v="1.3986496737367191"/>
  </r>
  <r>
    <x v="1"/>
    <d v="2019-05-28T00:00:00"/>
    <d v="2026-05-28T00:00:00"/>
    <n v="23700"/>
    <s v="Each"/>
    <n v="23700"/>
    <s v="Box/Carton"/>
    <n v="1.1850000000000001"/>
    <n v="5.944"/>
    <n v="34365"/>
    <s v="Health"/>
    <s v="DINJARTS6V-;26/06/2021"/>
    <s v="DINJARTS6V-;26/06/2028"/>
    <s v="ARTESUNATE 60 mg, poudre, fl +NaHCO3 5% 1ml +NaCl 0.9% 5ml(Guilin Pharmaceutical Co. Ltd,China):LA181127"/>
    <x v="104"/>
    <s v="26/06/2028"/>
    <d v="2028-06-26T00:00:00"/>
    <x v="3"/>
    <n v="1132520.9090909001"/>
    <n v="760"/>
    <n v="0.62780297855227729"/>
    <n v="0.62780297855227729"/>
  </r>
  <r>
    <x v="1"/>
    <d v="2019-05-28T00:00:00"/>
    <d v="2026-05-28T00:00:00"/>
    <n v="36853"/>
    <s v="Bulk (kg)"/>
    <n v="36853"/>
    <s v="Box/Carton"/>
    <n v="1.843"/>
    <n v="9.2430000000000003"/>
    <n v="53437"/>
    <s v="Health"/>
    <s v="DINJARTS6V-;25/06/2021"/>
    <s v="DINJARTS6V-;25/06/2028"/>
    <s v="ARTESUNATE 60 mg, poudre, fl +NaHCO3 5% 1ml +NaCl 0.9% 5ml(Guilin Pharmaceutical Co. Ltd,China):LA181107"/>
    <x v="104"/>
    <s v="25/06/2028"/>
    <d v="2028-06-25T00:00:00"/>
    <x v="3"/>
    <n v="1132520.9090909001"/>
    <n v="759"/>
    <n v="0.97622038686021417"/>
    <n v="0.97622038686021417"/>
  </r>
  <r>
    <x v="1"/>
    <d v="2019-05-28T00:00:00"/>
    <d v="2026-05-28T00:00:00"/>
    <n v="73200"/>
    <s v="Each"/>
    <n v="73200"/>
    <s v="Box/Carton"/>
    <n v="3.66"/>
    <n v="18.359000000000002"/>
    <n v="106"/>
    <s v="Health"/>
    <s v="DINJARTS6V-;26/06/2021"/>
    <s v="DINJARTS6V-;26/06/2028"/>
    <s v="ARTESUNATE 60 mg, poudre, fl +NaHCO3 5% 1ml +NaCl 0.9% 5ml(Guilin Pharmaceutical Co. Ltd,China):LA181128"/>
    <x v="104"/>
    <s v="26/06/2028"/>
    <d v="2028-06-26T00:00:00"/>
    <x v="3"/>
    <n v="1132520.9090909001"/>
    <n v="760"/>
    <n v="1.9390370476804515"/>
    <n v="1.9390370476804515"/>
  </r>
  <r>
    <x v="1"/>
    <d v="2019-05-28T00:00:00"/>
    <d v="2026-05-28T00:00:00"/>
    <n v="69000"/>
    <s v="Each"/>
    <n v="69000"/>
    <s v="Box/Carton"/>
    <n v="3.45"/>
    <n v="17.305"/>
    <n v="100050"/>
    <s v="Health"/>
    <s v="DINJARTS6V-;26/06/2021"/>
    <s v="DINJARTS6V-;26/06/2028"/>
    <s v="ARTESUNATE 60 mg, poudre, fl +NaHCO3 5% 1ml +NaCl 0.9% 5ml(Guilin Pharmaceutical Co. Ltd,China):LA181129"/>
    <x v="104"/>
    <s v="26/06/2028"/>
    <d v="2028-06-26T00:00:00"/>
    <x v="3"/>
    <n v="1132520.9090909001"/>
    <n v="760"/>
    <n v="1.8277808236332125"/>
    <n v="1.8277808236332125"/>
  </r>
  <r>
    <x v="1"/>
    <d v="2019-05-28T00:00:00"/>
    <d v="2026-05-28T00:00:00"/>
    <n v="1770"/>
    <s v="Each"/>
    <n v="59"/>
    <s v="Box/Carton"/>
    <n v="1.4999999999999999E-2"/>
    <n v="7.9000000000000001E-2"/>
    <n v="496"/>
    <s v="Health"/>
    <s v="DORAARLU1TD1;31/01/2021"/>
    <s v="DORAARLU1TD1;31/01/2028"/>
    <s v="AL 20/120 mg, blister de 6 comp. disp., 5-14 kg(Ajanta pharma Limited,India):PA0479B"/>
    <x v="101"/>
    <s v="31/01/2028"/>
    <d v="2028-01-31T00:00:00"/>
    <x v="3"/>
    <n v="45469.090909090912"/>
    <n v="613"/>
    <n v="1.1678262955854126"/>
    <n v="1.1678262955854126"/>
  </r>
  <r>
    <x v="1"/>
    <d v="2019-05-28T00:00:00"/>
    <d v="2026-05-28T00:00:00"/>
    <n v="109200"/>
    <s v="Each"/>
    <n v="3640"/>
    <s v="Box/Carton"/>
    <n v="1.163"/>
    <n v="4.9029999999999996"/>
    <n v="52416"/>
    <s v="Health"/>
    <s v="DORAARLU2TD1;31/01/2021"/>
    <s v="DORAARLU2TD1;31/01/2028"/>
    <s v="AL 20/120 mg, blister de 12 comp. disp., 15-24 kg(Ajanta pharma Limited,India):PA0459B"/>
    <x v="102"/>
    <s v="31/01/2028"/>
    <d v="2028-01-31T00:00:00"/>
    <x v="3"/>
    <n v="41561.181818181816"/>
    <n v="613"/>
    <n v="78.823552572002285"/>
    <n v="78.823552572002285"/>
  </r>
  <r>
    <x v="1"/>
    <d v="2019-05-28T00:00:00"/>
    <d v="2026-05-28T00:00:00"/>
    <n v="109650"/>
    <s v="Each"/>
    <n v="2193"/>
    <s v="Bale/Bundle"/>
    <n v="70.176000000000002"/>
    <n v="240.70400000000001"/>
    <n v="254388"/>
    <s v="Health"/>
    <s v=""/>
    <s v=""/>
    <s v="Moustiquaire Imprégné à Longue Durée d'Action(MILDA)"/>
    <x v="4"/>
    <s v=""/>
    <s v=""/>
    <x v="0"/>
    <n v="0"/>
    <n v="0"/>
    <n v="0"/>
    <n v="0"/>
  </r>
  <r>
    <x v="1"/>
    <d v="2019-05-28T00:00:00"/>
    <d v="2026-05-28T00:00:00"/>
    <n v="23"/>
    <s v="Each"/>
    <n v="23"/>
    <s v="None/Loose"/>
    <n v="1.4999999999999999E-2"/>
    <n v="0.05"/>
    <n v="53"/>
    <s v="Health"/>
    <s v=""/>
    <s v=""/>
    <s v="Moustiquaire Imprégné à Longue Durée d'Action(MILDA)"/>
    <x v="4"/>
    <s v=""/>
    <s v=""/>
    <x v="0"/>
    <n v="0"/>
    <n v="0"/>
    <n v="0"/>
    <n v="0"/>
  </r>
  <r>
    <x v="1"/>
    <d v="2019-05-28T00:00:00"/>
    <d v="2026-05-28T00:00:00"/>
    <n v="14"/>
    <s v="Each"/>
    <n v="14"/>
    <s v="None/Loose"/>
    <n v="8.9999999999999993E-3"/>
    <n v="3.1E-2"/>
    <n v="32"/>
    <s v="Health"/>
    <s v=""/>
    <s v=""/>
    <s v="Moustiquaire Imprégné à Longue Durée d'Action(MILDA)"/>
    <x v="4"/>
    <s v=""/>
    <s v=""/>
    <x v="0"/>
    <n v="0"/>
    <n v="0"/>
    <n v="0"/>
    <n v="0"/>
  </r>
  <r>
    <x v="1"/>
    <d v="2019-05-28T00:00:00"/>
    <d v="2026-05-28T00:00:00"/>
    <n v="432000"/>
    <s v="Each"/>
    <n v="3000"/>
    <s v="Box/Carton"/>
    <n v="1.296"/>
    <n v="7.0549999999999997"/>
    <n v="8340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1"/>
    <d v="2019-05-28T00:00:00"/>
    <d v="2026-05-28T00:00:00"/>
    <n v="432000"/>
    <s v="Each"/>
    <n v="3000"/>
    <s v="Box/Carton"/>
    <n v="1.296"/>
    <n v="7.0549999999999997"/>
    <n v="8340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1"/>
    <d v="2019-05-28T00:00:00"/>
    <d v="2026-05-28T00:00:00"/>
    <n v="423360"/>
    <s v="Each"/>
    <n v="2940"/>
    <s v="Box/Carton"/>
    <n v="1.27"/>
    <n v="6.9130000000000003"/>
    <n v="8173"/>
    <s v="Health"/>
    <s v="SMSUCOND1--;30/04/2022"/>
    <s v="SMSUCOND1--;30/04/2029"/>
    <s v="PRESERVATIF MASCULIN, lubrifié + RESERVOIR, u.u.(KAREX INDUSTRIES, MALAYSIA)"/>
    <x v="1"/>
    <s v="30/04/2029"/>
    <d v="2029-04-30T00:00:00"/>
    <x v="0"/>
    <n v="0"/>
    <n v="1068"/>
    <n v="0"/>
    <n v="0"/>
  </r>
  <r>
    <x v="1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437760"/>
    <s v="Each"/>
    <n v="3040"/>
    <s v="Box/Carton"/>
    <n v="1.3129999999999999"/>
    <n v="7.15"/>
    <n v="8451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432000"/>
    <s v="Each"/>
    <n v="3000"/>
    <s v="Box/Carton"/>
    <n v="1.296"/>
    <n v="7.0549999999999997"/>
    <n v="8340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434880"/>
    <s v="Each"/>
    <n v="3020"/>
    <s v="Box/Carton"/>
    <n v="1.296"/>
    <n v="7.1"/>
    <n v="8396"/>
    <s v="Health"/>
    <s v="SMSUCOND1;30/04/2022"/>
    <s v="SMSUCOND1;30/04/2029"/>
    <s v="PRESERVATIF MASCULIN, lubrifié + RESERVOIR, u.u.(KAREX INDUSTRIES, MALAYSIA)"/>
    <x v="2"/>
    <s v="30/04/2029"/>
    <d v="2029-04-30T00:00:00"/>
    <x v="0"/>
    <n v="0"/>
    <n v="1068"/>
    <n v="0"/>
    <n v="0"/>
  </r>
  <r>
    <x v="1"/>
    <d v="2019-05-28T00:00:00"/>
    <d v="2026-05-28T00:00:00"/>
    <n v="166800"/>
    <s v="Each"/>
    <n v="1668"/>
    <s v="Box/Carton"/>
    <n v="1.8009999999999999"/>
    <n v="11.494"/>
    <n v="68388"/>
    <s v="Health"/>
    <s v="SMSUCONDF1-;30/04/2020"/>
    <s v="SMSUCONDF1-;30/04/2027"/>
    <s v="PRESERVATIF FEMININ, lubrifié, 170 mm, u.u. (CUPID LTD,INDIA)"/>
    <x v="3"/>
    <s v="30/04/2027"/>
    <d v="2027-04-30T00:00:00"/>
    <x v="0"/>
    <n v="0"/>
    <n v="337"/>
    <n v="0"/>
    <n v="0"/>
  </r>
  <r>
    <x v="1"/>
    <d v="2019-05-28T00:00:00"/>
    <d v="2026-05-28T00:00:00"/>
    <n v="16000"/>
    <s v="Each"/>
    <n v="800"/>
    <s v="Box/Carton"/>
    <n v="9.4"/>
    <n v="17.600000000000001"/>
    <n v="3520"/>
    <s v="Health"/>
    <s v="DINFDEXT5FBF5;29/02/2020"/>
    <s v="DINFDEXT5FBF5;01/03/2027"/>
    <s v="GLUCOSE, 5%, 500 ml, poche souple, sans PVC(Shijiazhuang No 4 Pharmqceutical Co.Ltd,China)"/>
    <x v="88"/>
    <s v="01/03/2027"/>
    <d v="2027-03-01T00:00:00"/>
    <x v="3"/>
    <n v="12230"/>
    <n v="277"/>
    <n v="39.247751430907606"/>
    <n v="39.247751430907606"/>
  </r>
  <r>
    <x v="1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1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1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1"/>
    <d v="2019-05-28T00:00:00"/>
    <d v="2026-05-28T00:00:00"/>
    <n v="30000"/>
    <s v="Each"/>
    <n v="30000"/>
    <s v="None/Loose"/>
    <n v="1.05"/>
    <n v="8.8800000000000008"/>
    <n v="4200"/>
    <s v="Health"/>
    <s v="SINSSETI2--;28/02/2022"/>
    <s v="SINSSETI2--;28/02/2029"/>
    <s v="PERFUSEUR 'Y', Luer lock, prise d'air, stérile, u.u.(La-Med Healthcare Pvt. Ltd,India)"/>
    <x v="94"/>
    <s v="28/02/2029"/>
    <d v="2029-02-28T00:00:00"/>
    <x v="0"/>
    <n v="0"/>
    <n v="1007"/>
    <n v="0"/>
    <n v="0"/>
  </r>
  <r>
    <x v="1"/>
    <d v="2019-05-28T00:00:00"/>
    <d v="2026-05-28T00:00:00"/>
    <n v="43100"/>
    <s v="Each"/>
    <n v="43100"/>
    <s v="None/Loose"/>
    <n v="0.40100000000000002"/>
    <n v="4.1589999999999998"/>
    <n v="3620"/>
    <s v="Health"/>
    <s v="SINSIVPP18-;28/02/2022"/>
    <s v="SINSIVPP18-;28/02/2029"/>
    <s v="CATHETER IV, site d'injection, u.u. 18 G [1,2 x 45 mm], vert(La-Med Healthcare Pvt. Ltd,India)"/>
    <x v="95"/>
    <s v="28/02/2029"/>
    <d v="2029-02-28T00:00:00"/>
    <x v="0"/>
    <n v="0"/>
    <n v="1007"/>
    <n v="0"/>
    <n v="0"/>
  </r>
  <r>
    <x v="1"/>
    <d v="2019-05-28T00:00:00"/>
    <d v="2026-05-28T00:00:00"/>
    <n v="66100"/>
    <s v="Each"/>
    <n v="66100"/>
    <s v="None/Loose"/>
    <n v="0.61299999999999999"/>
    <n v="6.3789999999999996"/>
    <n v="5552"/>
    <s v="Health"/>
    <s v="SINSIVPP20-;28/02/2022"/>
    <s v="SINSIVPP20-;28/02/2029"/>
    <s v="CATHETER IV, site d'injection, u.u. 20 G [1,0 x 32 mm], rose(La-Med Healthcare Pvt. Ltd,India)"/>
    <x v="90"/>
    <s v="28/02/2029"/>
    <d v="2029-02-28T00:00:00"/>
    <x v="0"/>
    <n v="0"/>
    <n v="1007"/>
    <n v="0"/>
    <n v="0"/>
  </r>
  <r>
    <x v="1"/>
    <d v="2019-05-28T00:00:00"/>
    <d v="2026-05-28T00:00:00"/>
    <n v="98100"/>
    <s v="Each"/>
    <n v="98100"/>
    <s v="None/Loose"/>
    <n v="0.873"/>
    <n v="9.4670000000000005"/>
    <n v="8240"/>
    <s v="Health"/>
    <s v="SINSIVPP22-;28/02/2022"/>
    <s v="SINSIVPP22-;28/02/2029"/>
    <s v="CATHETER IV, site d'injection, u.u. 22 G [0,8 x 25 mm] bleu(La-Med Healthcare Pvt. Ltd,India)"/>
    <x v="91"/>
    <s v="28/02/2029"/>
    <d v="2029-02-28T00:00:00"/>
    <x v="0"/>
    <n v="0"/>
    <n v="1007"/>
    <n v="0"/>
    <n v="0"/>
  </r>
  <r>
    <x v="1"/>
    <d v="2019-05-28T00:00:00"/>
    <d v="2026-05-28T00:00:00"/>
    <n v="102400"/>
    <s v="Each"/>
    <n v="1024"/>
    <s v="Box/Carton"/>
    <n v="1.0069999999999999"/>
    <n v="8.2029999999999994"/>
    <n v="3502"/>
    <s v="Health"/>
    <s v="SINSSYDL10-;31/10/2020"/>
    <s v="SINSSYDL10-;31/10/2027"/>
    <s v="SERINGUE, u.u., Luer, 10 ml(Suzhou Hengxiang Co Ltd,China)"/>
    <x v="96"/>
    <s v="31/10/2027"/>
    <d v="2027-10-31T00:00:00"/>
    <x v="0"/>
    <n v="0"/>
    <n v="521"/>
    <n v="0"/>
    <n v="0"/>
  </r>
  <r>
    <x v="1"/>
    <d v="2019-05-28T00:00:00"/>
    <d v="2026-05-28T00:00:00"/>
    <n v="10500"/>
    <s v="Each"/>
    <n v="210"/>
    <s v="Box/Carton"/>
    <n v="5.3999999999999999E-2"/>
    <n v="0.03"/>
    <n v="201"/>
    <s v="Health"/>
    <s v="ELABSLID1FT;31/10/2020"/>
    <s v="ELABSLID1FT;31/10/2027"/>
    <s v="LAME PORTE-OBJETS, dépolie, 76 x 26 mm,emballage tropicalisé(Ral Diagnostic)"/>
    <x v="97"/>
    <s v="31/10/2027"/>
    <d v="2027-10-31T00:00:00"/>
    <x v="0"/>
    <n v="0"/>
    <n v="521"/>
    <n v="0"/>
    <n v="0"/>
  </r>
  <r>
    <x v="1"/>
    <d v="2019-05-28T00:00:00"/>
    <d v="2026-05-28T00:00:00"/>
    <n v="810"/>
    <s v="Each"/>
    <n v="810"/>
    <s v="None/Loose"/>
    <n v="0.154"/>
    <n v="0.84199999999999997"/>
    <n v="4965"/>
    <s v="Health"/>
    <s v="SLASOILI2B5;28/02/2022"/>
    <s v="SLASOILI2B5;28/02/2029"/>
    <s v="HUILE IMMERSION, 250 ml, fl. compte-gouttes(Gainland Chemical CO UK.)"/>
    <x v="98"/>
    <s v="28/02/2029"/>
    <d v="2029-02-28T00:00:00"/>
    <x v="0"/>
    <n v="0"/>
    <n v="1007"/>
    <n v="0"/>
    <n v="0"/>
  </r>
  <r>
    <x v="1"/>
    <d v="2019-05-28T00:00:00"/>
    <d v="2026-05-28T00:00:00"/>
    <n v="58"/>
    <s v="Each"/>
    <n v="58"/>
    <s v="None/Loose"/>
    <n v="1.4999999999999999E-2"/>
    <n v="0.185"/>
    <n v="39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1"/>
    <d v="2019-05-28T00:00:00"/>
    <d v="2026-05-28T00:00:00"/>
    <n v="150"/>
    <s v="Each"/>
    <n v="150"/>
    <s v="None/Loose"/>
    <n v="3.7999999999999999E-2"/>
    <n v="0.46100000000000002"/>
    <n v="98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1"/>
    <d v="2019-05-28T00:00:00"/>
    <d v="2026-05-28T00:00:00"/>
    <n v="360"/>
    <s v="Each"/>
    <n v="360"/>
    <s v="None/Loose"/>
    <n v="9.0999999999999998E-2"/>
    <n v="1.107"/>
    <n v="234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1"/>
    <d v="2019-05-28T00:00:00"/>
    <d v="2026-05-28T00:00:00"/>
    <n v="390"/>
    <s v="Each"/>
    <n v="390"/>
    <s v="None/Loose"/>
    <n v="9.9000000000000005E-2"/>
    <n v="1.2"/>
    <n v="254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1"/>
    <d v="2019-05-28T00:00:00"/>
    <d v="2026-05-28T00:00:00"/>
    <n v="30"/>
    <s v="Each"/>
    <n v="30"/>
    <s v="None/Loose"/>
    <n v="8.0000000000000002E-3"/>
    <n v="9.1999999999999998E-2"/>
    <n v="20"/>
    <s v="Health"/>
    <s v="SINSCONT2P-;"/>
    <s v="SINSCONT2P-;"/>
    <s v="CONTAINER,regulated medical waste [UN3291](Fisher Scientific,Canada)"/>
    <x v="39"/>
    <s v=""/>
    <s v=""/>
    <x v="0"/>
    <n v="0"/>
    <n v="0"/>
    <n v="0"/>
    <n v="0"/>
  </r>
  <r>
    <x v="1"/>
    <d v="2019-05-28T00:00:00"/>
    <d v="2026-05-28T00:00:00"/>
    <n v="36500"/>
    <s v="Each"/>
    <n v="730"/>
    <s v="Box/Carton"/>
    <n v="0.188"/>
    <n v="0.105"/>
    <n v="699"/>
    <s v="Health"/>
    <s v="ELABSLID1--;31/10/2020"/>
    <s v="ELABSLID1--;31/10/2027"/>
    <s v="LAME PORTE-OBJETS, 76 x 26 mm, épaisseur 1-1,2 mm(Ral Diagnostic)"/>
    <x v="105"/>
    <s v="31/10/2027"/>
    <d v="2027-10-31T00:00:00"/>
    <x v="0"/>
    <n v="0"/>
    <n v="521"/>
    <n v="0"/>
    <n v="0"/>
  </r>
  <r>
    <x v="1"/>
    <d v="2019-05-28T00:00:00"/>
    <d v="2026-05-28T00:00:00"/>
    <n v="532825"/>
    <s v="Each"/>
    <n v="21313"/>
    <s v="Box/Carton"/>
    <n v="6.3940000000000001"/>
    <n v="19.375"/>
    <n v="90580"/>
    <s v="Health"/>
    <s v="SSDTMALP25T2;31/01/2021"/>
    <s v="SSDTMALP25T2;31/01/2028"/>
    <s v="TEST MALARIA Pf [HRP-2] Ag RDT, st,1test [CareStart RMOM-02571](Access Bio,Inc.USA):MO18H68"/>
    <x v="100"/>
    <s v="31/01/2028"/>
    <d v="2028-01-31T00:00:00"/>
    <x v="3"/>
    <n v="735190.90909090894"/>
    <n v="613"/>
    <n v="21.742311829951408"/>
    <n v="21.742311829951408"/>
  </r>
  <r>
    <x v="1"/>
    <d v="2019-05-28T00:00:00"/>
    <d v="2026-05-28T00:00:00"/>
    <n v="528775"/>
    <s v="Each"/>
    <n v="21151"/>
    <s v="Box/Carton"/>
    <n v="6.3449999999999998"/>
    <n v="19.228000000000002"/>
    <n v="89892"/>
    <s v="Health"/>
    <s v="SSDTMALP25T2;30/04/2021"/>
    <s v="SSDTMALP25T2;30/04/2028"/>
    <s v="TEST MALARIA Pf [HRP-2] Ag RDT, st,1test [CareStart RMOM-02571](Access Bio,Inc.USA):MO18L68"/>
    <x v="100"/>
    <s v="30/04/2028"/>
    <d v="2028-04-30T00:00:00"/>
    <x v="3"/>
    <n v="735190.90909090894"/>
    <n v="703"/>
    <n v="21.577048633008129"/>
    <n v="21.577048633008129"/>
  </r>
  <r>
    <x v="1"/>
    <d v="2019-05-28T00:00:00"/>
    <d v="2026-05-28T00:00:00"/>
    <n v="530875"/>
    <s v="Each"/>
    <n v="21235"/>
    <s v="Box/Carton"/>
    <n v="6.7949999999999999"/>
    <n v="19.305"/>
    <n v="90249"/>
    <s v="Health"/>
    <s v="SSDTMALP25T2;30/04/2021"/>
    <s v="SSDTMALP25T2;30/04/2028"/>
    <s v="TEST MALARIA Pf [HRP-2] Ag RDT, st,1test [CareStart RMOM-02571](Access Bio,Inc.USA):MO18L67"/>
    <x v="100"/>
    <s v="30/04/2028"/>
    <d v="2028-04-30T00:00:00"/>
    <x v="3"/>
    <n v="735190.90909090894"/>
    <n v="703"/>
    <n v="21.662740661052791"/>
    <n v="21.662740661052791"/>
  </r>
  <r>
    <x v="1"/>
    <d v="2019-05-28T00:00:00"/>
    <d v="2026-05-28T00:00:00"/>
    <n v="526625"/>
    <s v="Each"/>
    <n v="21065"/>
    <s v="Box/Carton"/>
    <n v="6.7409999999999997"/>
    <n v="19.149999999999999"/>
    <n v="89526"/>
    <s v="Health"/>
    <s v="SSDTMALP25T2;30/04/2021"/>
    <s v="SSDTMALP25T2;30/04/2028"/>
    <s v="TEST MALARIA Pf [HRP-2] Ag RDT, st,1test [CareStart RMOM-02571](Access Bio,Inc.USA):MO18L69"/>
    <x v="100"/>
    <s v="30/04/2028"/>
    <d v="2028-04-30T00:00:00"/>
    <x v="3"/>
    <n v="735190.90909090894"/>
    <n v="703"/>
    <n v="21.489316318581448"/>
    <n v="21.489316318581448"/>
  </r>
  <r>
    <x v="1"/>
    <d v="2019-05-28T00:00:00"/>
    <d v="2026-05-28T00:00:00"/>
    <n v="31350"/>
    <s v="Each"/>
    <n v="1254"/>
    <s v="Box/Carton"/>
    <n v="0.40100000000000002"/>
    <n v="1.389"/>
    <n v="5330"/>
    <s v="Health"/>
    <s v="SSDTMALP25T2;30/04/2021"/>
    <s v="SSDTMALP25T2;30/04/2028"/>
    <s v="TEST MALARIA Pf [HRP-2] Ag RDT, st,1test [CareStart RMOM-02571](Access Bio,Inc.USA):MO18L66"/>
    <x v="100"/>
    <s v="30/04/2028"/>
    <d v="2028-04-30T00:00:00"/>
    <x v="3"/>
    <n v="735190.90909090894"/>
    <n v="703"/>
    <n v="1.2792595615239086"/>
    <n v="1.2792595615239086"/>
  </r>
  <r>
    <x v="1"/>
    <d v="2019-05-28T00:00:00"/>
    <d v="2026-05-28T00:00:00"/>
    <n v="5525"/>
    <s v="Each"/>
    <n v="221"/>
    <s v="Box/Carton"/>
    <n v="6.6000000000000003E-2"/>
    <n v="0.2"/>
    <n v="939"/>
    <s v="Health"/>
    <s v="SSDTMALP25T2;30/04/2021"/>
    <s v="SSDTMALP25T2;30/04/2028"/>
    <s v="TEST MALARIA Pf [HRP-2] Ag RDT, st,1test [CareStart RMOM-02571](Access Bio,Inc.USA):MO18L70"/>
    <x v="100"/>
    <s v="30/04/2028"/>
    <d v="2028-04-30T00:00:00"/>
    <x v="3"/>
    <n v="735190.90909090894"/>
    <n v="703"/>
    <n v="0.22545164521274627"/>
    <n v="0.22545164521274627"/>
  </r>
  <r>
    <x v="1"/>
    <d v="2019-05-28T00:00:00"/>
    <d v="2026-05-28T00:00:00"/>
    <n v="131025"/>
    <s v="Each"/>
    <n v="5241"/>
    <s v="Box/Carton"/>
    <n v="1.5720000000000001"/>
    <n v="4.7649999999999997"/>
    <n v="22274"/>
    <s v="Health"/>
    <s v="SSDTMALP25T2;31/01/2021"/>
    <s v="SSDTMALP25T2;31/01/2028"/>
    <s v="TEST MALARIA Pf [HRP-2] Ag RDT, st,1test [CareStart RMOM-02571](Access Bio,Inc.USA):MO18H69"/>
    <x v="100"/>
    <s v="31/01/2028"/>
    <d v="2028-01-31T00:00:00"/>
    <x v="3"/>
    <n v="735190.90909090894"/>
    <n v="613"/>
    <n v="5.3465704640724123"/>
    <n v="5.3465704640724123"/>
  </r>
  <r>
    <x v="1"/>
    <d v="2019-05-28T00:00:00"/>
    <d v="2026-05-28T00:00:00"/>
    <n v="229500"/>
    <s v="Each"/>
    <n v="9180"/>
    <s v="Box/Carton"/>
    <n v="2.754"/>
    <n v="8.3450000000000006"/>
    <n v="39015"/>
    <s v="Health"/>
    <s v="SSDTMALP25T2;31/01/2021"/>
    <s v="SSDTMALP25T2;31/01/2028"/>
    <s v="TEST MALARIA Pf [HRP-2] Ag RDT, st,1test [CareStart RMOM-02571](Access Bio,Inc.USA):MO18H61"/>
    <x v="100"/>
    <s v="31/01/2028"/>
    <d v="2028-01-31T00:00:00"/>
    <x v="3"/>
    <n v="735190.90909090894"/>
    <n v="613"/>
    <n v="9.3649144934525363"/>
    <n v="9.3649144934525363"/>
  </r>
  <r>
    <x v="1"/>
    <d v="2019-05-28T00:00:00"/>
    <d v="2026-05-28T00:00:00"/>
    <n v="188025"/>
    <s v="Each"/>
    <n v="7521"/>
    <s v="Box/Carton"/>
    <n v="2.2559999999999998"/>
    <n v="6.8369999999999997"/>
    <n v="31964"/>
    <s v="Health"/>
    <s v="SSDTMALP25T2;31/01/2021"/>
    <s v="SSDTMALP25T2;31/01/2028"/>
    <s v="TEST MALARIA Pf [HRP-2] Ag RDT, st,1test [CareStart RMOM-02571](Access Bio,Inc.USA):MO18H66"/>
    <x v="100"/>
    <s v="31/01/2028"/>
    <d v="2028-01-31T00:00:00"/>
    <x v="3"/>
    <n v="735190.90909090894"/>
    <n v="613"/>
    <n v="7.6724969395704274"/>
    <n v="7.6724969395704274"/>
  </r>
  <r>
    <x v="1"/>
    <d v="2019-05-28T00:00:00"/>
    <d v="2026-05-28T00:00:00"/>
    <n v="243025"/>
    <s v="Each"/>
    <n v="9721"/>
    <s v="Box/Carton"/>
    <n v="2.9159999999999999"/>
    <n v="8.8369999999999997"/>
    <n v="41314"/>
    <s v="Health"/>
    <s v="SSDTMALP25T2;31/01/2021"/>
    <s v="SSDTMALP25T2;31/01/2028"/>
    <s v="TEST MALARIA Pf [HRP-2] Ag RDT, st,1test [CareStart RMOM-02571](Access Bio,Inc.USA):MO18H67"/>
    <x v="100"/>
    <s v="31/01/2028"/>
    <d v="2028-01-31T00:00:00"/>
    <x v="3"/>
    <n v="735190.90909090894"/>
    <n v="613"/>
    <n v="9.9168119597878128"/>
    <n v="9.9168119597878128"/>
  </r>
  <r>
    <x v="1"/>
    <d v="2019-05-28T00:00:00"/>
    <d v="2026-05-28T00:00:00"/>
    <n v="514600"/>
    <s v="Each"/>
    <n v="20584"/>
    <s v="Box/Carton"/>
    <n v="6.1749999999999998"/>
    <n v="18.713000000000001"/>
    <n v="87482"/>
    <s v="Health"/>
    <s v="SSDTMALP25T2;31/01/2021"/>
    <s v="SSDTMALP25T2;31/01/2028"/>
    <s v="TEST MALARIA Pf [HRP-2] Ag RDT, st,1test [CareStart RMOM-02571](Access Bio,Inc.USA):MO18H64"/>
    <x v="100"/>
    <s v="31/01/2028"/>
    <d v="2028-01-31T00:00:00"/>
    <x v="3"/>
    <n v="735190.90909090894"/>
    <n v="613"/>
    <n v="20.998627443706646"/>
    <n v="20.998627443706646"/>
  </r>
  <r>
    <x v="1"/>
    <d v="2019-05-28T00:00:00"/>
    <d v="2026-05-28T00:00:00"/>
    <n v="535625"/>
    <s v="Each"/>
    <n v="21425"/>
    <s v="Box/Carton"/>
    <n v="6.8559999999999999"/>
    <n v="19.477"/>
    <n v="91056"/>
    <s v="Health"/>
    <s v="SSDTMALP25T2;31/01/2021"/>
    <s v="SSDTMALP25T2;31/01/2028"/>
    <s v="TEST MALARIA Pf [HRP-2] Ag RDT, st,1test [CareStart RMOM-02571](Access Bio,Inc.USA):MO18H65"/>
    <x v="100"/>
    <s v="31/01/2028"/>
    <d v="2028-01-31T00:00:00"/>
    <x v="3"/>
    <n v="735190.90909090894"/>
    <n v="613"/>
    <n v="21.856567867344292"/>
    <n v="21.856567867344292"/>
  </r>
  <r>
    <x v="1"/>
    <d v="2019-05-28T00:00:00"/>
    <d v="2026-05-28T00:00:00"/>
    <n v="511650"/>
    <s v="Each"/>
    <n v="20466"/>
    <s v="Box/Carton"/>
    <n v="6.5490000000000004"/>
    <n v="18.605"/>
    <n v="86981"/>
    <s v="Health"/>
    <s v="SSDTMALP25T2;31/01/2021"/>
    <s v="SSDTMALP25T2;31/01/2028"/>
    <s v="TEST MALARIA Pf [HRP-2] Ag RDT, st,1test [CareStart RMOM-02571](Access Bio,Inc.USA):MO18H63"/>
    <x v="100"/>
    <s v="31/01/2028"/>
    <d v="2028-01-31T00:00:00"/>
    <x v="3"/>
    <n v="735190.90909090894"/>
    <n v="613"/>
    <n v="20.878250547167713"/>
    <n v="20.878250547167713"/>
  </r>
  <r>
    <x v="1"/>
    <d v="2019-05-28T00:00:00"/>
    <d v="2026-05-28T00:00:00"/>
    <n v="24060"/>
    <s v="Each"/>
    <n v="1203"/>
    <s v="Box/Carton"/>
    <n v="13.834"/>
    <n v="26.779"/>
    <n v="4331"/>
    <s v="Health"/>
    <s v="DINFDEXT5FBF5;15/09/2021"/>
    <s v="DINFDEXT5FBF5;15/09/2028"/>
    <s v="GLUCOSE, 5%, 500 ml, poche souple, sans PVC(Shijiazhuang No 4 Pharmqceutical Co.Ltd,China):1809161901"/>
    <x v="88"/>
    <s v="15/09/2028"/>
    <d v="2028-09-15T00:00:00"/>
    <x v="3"/>
    <n v="12230"/>
    <n v="841"/>
    <n v="59.018806214227311"/>
    <n v="59.018806214227311"/>
  </r>
  <r>
    <x v="1"/>
    <d v="2019-05-28T00:00:00"/>
    <d v="2026-05-28T00:00:00"/>
    <n v="5940"/>
    <s v="Each"/>
    <n v="297"/>
    <s v="Box/Carton"/>
    <n v="3.415"/>
    <n v="6.6109999999999998"/>
    <n v="1069"/>
    <s v="Health"/>
    <s v="DINFDEXT5FBF5;15/09/2021"/>
    <s v="DINFDEXT5FBF5;15/09/2028"/>
    <s v="GLUCOSE, 5%, 500 ml, poche souple, sans PVC(Shijiazhuang No 4 Pharmqceutical Co.Ltd,China):1809161902"/>
    <x v="88"/>
    <s v="15/09/2028"/>
    <d v="2028-09-15T00:00:00"/>
    <x v="3"/>
    <n v="12230"/>
    <n v="841"/>
    <n v="14.570727718724449"/>
    <n v="14.5707277187244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03E33-434C-4D91-A4B7-F9B4BD0F32B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3" firstHeaderRow="0" firstDataRow="1" firstDataCol="1" rowPageCount="2" colPageCount="1"/>
  <pivotFields count="22">
    <pivotField axis="axisPage" showAll="0">
      <items count="3">
        <item x="1"/>
        <item x="0"/>
        <item t="default"/>
      </items>
    </pivotField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7">
        <item x="4"/>
        <item x="18"/>
        <item x="88"/>
        <item x="63"/>
        <item x="104"/>
        <item x="75"/>
        <item x="67"/>
        <item x="6"/>
        <item x="21"/>
        <item x="40"/>
        <item x="65"/>
        <item x="53"/>
        <item x="78"/>
        <item x="101"/>
        <item x="102"/>
        <item x="99"/>
        <item x="103"/>
        <item x="51"/>
        <item x="69"/>
        <item x="59"/>
        <item x="70"/>
        <item x="79"/>
        <item x="87"/>
        <item x="71"/>
        <item x="7"/>
        <item x="72"/>
        <item x="86"/>
        <item x="49"/>
        <item x="56"/>
        <item x="57"/>
        <item x="82"/>
        <item x="60"/>
        <item x="11"/>
        <item x="10"/>
        <item x="12"/>
        <item x="8"/>
        <item x="5"/>
        <item x="81"/>
        <item x="85"/>
        <item x="14"/>
        <item x="83"/>
        <item x="84"/>
        <item x="61"/>
        <item x="77"/>
        <item x="54"/>
        <item x="76"/>
        <item x="64"/>
        <item x="80"/>
        <item x="62"/>
        <item x="74"/>
        <item x="9"/>
        <item x="19"/>
        <item x="52"/>
        <item x="89"/>
        <item x="58"/>
        <item x="15"/>
        <item x="16"/>
        <item x="50"/>
        <item x="66"/>
        <item x="20"/>
        <item x="34"/>
        <item x="93"/>
        <item x="30"/>
        <item x="46"/>
        <item x="45"/>
        <item x="44"/>
        <item x="43"/>
        <item x="37"/>
        <item x="38"/>
        <item x="105"/>
        <item x="97"/>
        <item x="41"/>
        <item x="36"/>
        <item x="68"/>
        <item x="22"/>
        <item x="23"/>
        <item x="24"/>
        <item x="26"/>
        <item x="35"/>
        <item x="25"/>
        <item x="33"/>
        <item x="27"/>
        <item x="28"/>
        <item x="0"/>
        <item x="39"/>
        <item x="31"/>
        <item x="95"/>
        <item x="90"/>
        <item x="91"/>
        <item x="94"/>
        <item x="47"/>
        <item x="96"/>
        <item x="29"/>
        <item x="92"/>
        <item x="73"/>
        <item x="98"/>
        <item x="17"/>
        <item x="2"/>
        <item x="1"/>
        <item x="3"/>
        <item x="13"/>
        <item x="55"/>
        <item x="48"/>
        <item x="100"/>
        <item x="42"/>
        <item x="32"/>
        <item t="default"/>
      </items>
    </pivotField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4"/>
  </rowFields>
  <rowItems count="9">
    <i>
      <x v="2"/>
    </i>
    <i>
      <x v="4"/>
    </i>
    <i>
      <x v="13"/>
    </i>
    <i>
      <x v="14"/>
    </i>
    <i>
      <x v="15"/>
    </i>
    <i>
      <x v="16"/>
    </i>
    <i>
      <x v="53"/>
    </i>
    <i>
      <x v="103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0" hier="-1"/>
    <pageField fld="17" item="1" hier="-1"/>
  </pageFields>
  <dataFields count="2">
    <dataField name="Max of date_value_new" fld="2" subtotal="max" baseField="14" baseItem="2" numFmtId="166"/>
    <dataField name="Sum of effective day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05419-91B4-4A1C-A685-82CBC855F842}" name="Table1" displayName="Table1" ref="A1:F41" totalsRowShown="0" headerRowDxfId="7" dataDxfId="6">
  <autoFilter ref="A1:F41" xr:uid="{4B027054-9890-4D71-A465-70369F7DF050}"/>
  <tableColumns count="6">
    <tableColumn id="1" xr3:uid="{52280947-3190-4069-82A4-4473860E1969}" name="product_code" dataDxfId="5"/>
    <tableColumn id="2" xr3:uid="{801C6F46-8183-43F6-9213-8B825DA46084}" name="Description" dataDxfId="4"/>
    <tableColumn id="3" xr3:uid="{A6D8A10B-AECF-4E29-AFE6-85B197EF9B5A}" name="Category" dataDxfId="3"/>
    <tableColumn id="4" xr3:uid="{6D4C1E98-91B4-43C3-B646-0187EE37F07B}" name="Sub-Category" dataDxfId="2"/>
    <tableColumn id="5" xr3:uid="{C92C5D64-9175-4127-8156-997A17DAAC5C}" name="Acronym" dataDxfId="1"/>
    <tableColumn id="6" xr3:uid="{7C706FB3-5BF6-4048-9E9F-A433B2CE666F}" name="Monthly Consumption (# units)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1F77-4E3A-43D6-8B06-27C9670552DA}">
  <dimension ref="A1:L555"/>
  <sheetViews>
    <sheetView tabSelected="1" workbookViewId="0">
      <selection activeCell="B3" sqref="B3"/>
    </sheetView>
  </sheetViews>
  <sheetFormatPr defaultRowHeight="12.75" x14ac:dyDescent="0.2"/>
  <cols>
    <col min="1" max="1" width="38.85546875" style="4" customWidth="1"/>
    <col min="2" max="2" width="16.28515625" style="4" customWidth="1"/>
    <col min="3" max="3" width="17.85546875" style="4" customWidth="1"/>
    <col min="4" max="4" width="10.5703125" style="4" customWidth="1"/>
    <col min="5" max="5" width="12.7109375" style="4" customWidth="1"/>
    <col min="6" max="6" width="11.7109375" style="4" customWidth="1"/>
    <col min="7" max="7" width="13.42578125" style="4" customWidth="1"/>
    <col min="8" max="8" width="13.140625" style="4" customWidth="1"/>
    <col min="9" max="9" width="18.140625" style="4" customWidth="1"/>
    <col min="10" max="10" width="15.85546875" style="4" customWidth="1"/>
    <col min="11" max="11" width="25.42578125" style="4" customWidth="1"/>
    <col min="12" max="12" width="27.7109375" style="4" customWidth="1"/>
    <col min="13" max="256" width="9.140625" style="4"/>
    <col min="257" max="257" width="38.85546875" style="4" customWidth="1"/>
    <col min="258" max="258" width="16.28515625" style="4" customWidth="1"/>
    <col min="259" max="259" width="17.85546875" style="4" customWidth="1"/>
    <col min="260" max="260" width="10.5703125" style="4" customWidth="1"/>
    <col min="261" max="261" width="12.7109375" style="4" customWidth="1"/>
    <col min="262" max="262" width="11.7109375" style="4" customWidth="1"/>
    <col min="263" max="263" width="13.42578125" style="4" customWidth="1"/>
    <col min="264" max="264" width="13.140625" style="4" customWidth="1"/>
    <col min="265" max="265" width="18.140625" style="4" customWidth="1"/>
    <col min="266" max="266" width="15.85546875" style="4" customWidth="1"/>
    <col min="267" max="267" width="25.42578125" style="4" customWidth="1"/>
    <col min="268" max="268" width="27.7109375" style="4" customWidth="1"/>
    <col min="269" max="512" width="9.140625" style="4"/>
    <col min="513" max="513" width="38.85546875" style="4" customWidth="1"/>
    <col min="514" max="514" width="16.28515625" style="4" customWidth="1"/>
    <col min="515" max="515" width="17.85546875" style="4" customWidth="1"/>
    <col min="516" max="516" width="10.5703125" style="4" customWidth="1"/>
    <col min="517" max="517" width="12.7109375" style="4" customWidth="1"/>
    <col min="518" max="518" width="11.7109375" style="4" customWidth="1"/>
    <col min="519" max="519" width="13.42578125" style="4" customWidth="1"/>
    <col min="520" max="520" width="13.140625" style="4" customWidth="1"/>
    <col min="521" max="521" width="18.140625" style="4" customWidth="1"/>
    <col min="522" max="522" width="15.85546875" style="4" customWidth="1"/>
    <col min="523" max="523" width="25.42578125" style="4" customWidth="1"/>
    <col min="524" max="524" width="27.7109375" style="4" customWidth="1"/>
    <col min="525" max="768" width="9.140625" style="4"/>
    <col min="769" max="769" width="38.85546875" style="4" customWidth="1"/>
    <col min="770" max="770" width="16.28515625" style="4" customWidth="1"/>
    <col min="771" max="771" width="17.85546875" style="4" customWidth="1"/>
    <col min="772" max="772" width="10.5703125" style="4" customWidth="1"/>
    <col min="773" max="773" width="12.7109375" style="4" customWidth="1"/>
    <col min="774" max="774" width="11.7109375" style="4" customWidth="1"/>
    <col min="775" max="775" width="13.42578125" style="4" customWidth="1"/>
    <col min="776" max="776" width="13.140625" style="4" customWidth="1"/>
    <col min="777" max="777" width="18.140625" style="4" customWidth="1"/>
    <col min="778" max="778" width="15.85546875" style="4" customWidth="1"/>
    <col min="779" max="779" width="25.42578125" style="4" customWidth="1"/>
    <col min="780" max="780" width="27.7109375" style="4" customWidth="1"/>
    <col min="781" max="1024" width="9.140625" style="4"/>
    <col min="1025" max="1025" width="38.85546875" style="4" customWidth="1"/>
    <col min="1026" max="1026" width="16.28515625" style="4" customWidth="1"/>
    <col min="1027" max="1027" width="17.85546875" style="4" customWidth="1"/>
    <col min="1028" max="1028" width="10.5703125" style="4" customWidth="1"/>
    <col min="1029" max="1029" width="12.7109375" style="4" customWidth="1"/>
    <col min="1030" max="1030" width="11.7109375" style="4" customWidth="1"/>
    <col min="1031" max="1031" width="13.42578125" style="4" customWidth="1"/>
    <col min="1032" max="1032" width="13.140625" style="4" customWidth="1"/>
    <col min="1033" max="1033" width="18.140625" style="4" customWidth="1"/>
    <col min="1034" max="1034" width="15.85546875" style="4" customWidth="1"/>
    <col min="1035" max="1035" width="25.42578125" style="4" customWidth="1"/>
    <col min="1036" max="1036" width="27.7109375" style="4" customWidth="1"/>
    <col min="1037" max="1280" width="9.140625" style="4"/>
    <col min="1281" max="1281" width="38.85546875" style="4" customWidth="1"/>
    <col min="1282" max="1282" width="16.28515625" style="4" customWidth="1"/>
    <col min="1283" max="1283" width="17.85546875" style="4" customWidth="1"/>
    <col min="1284" max="1284" width="10.5703125" style="4" customWidth="1"/>
    <col min="1285" max="1285" width="12.7109375" style="4" customWidth="1"/>
    <col min="1286" max="1286" width="11.7109375" style="4" customWidth="1"/>
    <col min="1287" max="1287" width="13.42578125" style="4" customWidth="1"/>
    <col min="1288" max="1288" width="13.140625" style="4" customWidth="1"/>
    <col min="1289" max="1289" width="18.140625" style="4" customWidth="1"/>
    <col min="1290" max="1290" width="15.85546875" style="4" customWidth="1"/>
    <col min="1291" max="1291" width="25.42578125" style="4" customWidth="1"/>
    <col min="1292" max="1292" width="27.7109375" style="4" customWidth="1"/>
    <col min="1293" max="1536" width="9.140625" style="4"/>
    <col min="1537" max="1537" width="38.85546875" style="4" customWidth="1"/>
    <col min="1538" max="1538" width="16.28515625" style="4" customWidth="1"/>
    <col min="1539" max="1539" width="17.85546875" style="4" customWidth="1"/>
    <col min="1540" max="1540" width="10.5703125" style="4" customWidth="1"/>
    <col min="1541" max="1541" width="12.7109375" style="4" customWidth="1"/>
    <col min="1542" max="1542" width="11.7109375" style="4" customWidth="1"/>
    <col min="1543" max="1543" width="13.42578125" style="4" customWidth="1"/>
    <col min="1544" max="1544" width="13.140625" style="4" customWidth="1"/>
    <col min="1545" max="1545" width="18.140625" style="4" customWidth="1"/>
    <col min="1546" max="1546" width="15.85546875" style="4" customWidth="1"/>
    <col min="1547" max="1547" width="25.42578125" style="4" customWidth="1"/>
    <col min="1548" max="1548" width="27.7109375" style="4" customWidth="1"/>
    <col min="1549" max="1792" width="9.140625" style="4"/>
    <col min="1793" max="1793" width="38.85546875" style="4" customWidth="1"/>
    <col min="1794" max="1794" width="16.28515625" style="4" customWidth="1"/>
    <col min="1795" max="1795" width="17.85546875" style="4" customWidth="1"/>
    <col min="1796" max="1796" width="10.5703125" style="4" customWidth="1"/>
    <col min="1797" max="1797" width="12.7109375" style="4" customWidth="1"/>
    <col min="1798" max="1798" width="11.7109375" style="4" customWidth="1"/>
    <col min="1799" max="1799" width="13.42578125" style="4" customWidth="1"/>
    <col min="1800" max="1800" width="13.140625" style="4" customWidth="1"/>
    <col min="1801" max="1801" width="18.140625" style="4" customWidth="1"/>
    <col min="1802" max="1802" width="15.85546875" style="4" customWidth="1"/>
    <col min="1803" max="1803" width="25.42578125" style="4" customWidth="1"/>
    <col min="1804" max="1804" width="27.7109375" style="4" customWidth="1"/>
    <col min="1805" max="2048" width="9.140625" style="4"/>
    <col min="2049" max="2049" width="38.85546875" style="4" customWidth="1"/>
    <col min="2050" max="2050" width="16.28515625" style="4" customWidth="1"/>
    <col min="2051" max="2051" width="17.85546875" style="4" customWidth="1"/>
    <col min="2052" max="2052" width="10.5703125" style="4" customWidth="1"/>
    <col min="2053" max="2053" width="12.7109375" style="4" customWidth="1"/>
    <col min="2054" max="2054" width="11.7109375" style="4" customWidth="1"/>
    <col min="2055" max="2055" width="13.42578125" style="4" customWidth="1"/>
    <col min="2056" max="2056" width="13.140625" style="4" customWidth="1"/>
    <col min="2057" max="2057" width="18.140625" style="4" customWidth="1"/>
    <col min="2058" max="2058" width="15.85546875" style="4" customWidth="1"/>
    <col min="2059" max="2059" width="25.42578125" style="4" customWidth="1"/>
    <col min="2060" max="2060" width="27.7109375" style="4" customWidth="1"/>
    <col min="2061" max="2304" width="9.140625" style="4"/>
    <col min="2305" max="2305" width="38.85546875" style="4" customWidth="1"/>
    <col min="2306" max="2306" width="16.28515625" style="4" customWidth="1"/>
    <col min="2307" max="2307" width="17.85546875" style="4" customWidth="1"/>
    <col min="2308" max="2308" width="10.5703125" style="4" customWidth="1"/>
    <col min="2309" max="2309" width="12.7109375" style="4" customWidth="1"/>
    <col min="2310" max="2310" width="11.7109375" style="4" customWidth="1"/>
    <col min="2311" max="2311" width="13.42578125" style="4" customWidth="1"/>
    <col min="2312" max="2312" width="13.140625" style="4" customWidth="1"/>
    <col min="2313" max="2313" width="18.140625" style="4" customWidth="1"/>
    <col min="2314" max="2314" width="15.85546875" style="4" customWidth="1"/>
    <col min="2315" max="2315" width="25.42578125" style="4" customWidth="1"/>
    <col min="2316" max="2316" width="27.7109375" style="4" customWidth="1"/>
    <col min="2317" max="2560" width="9.140625" style="4"/>
    <col min="2561" max="2561" width="38.85546875" style="4" customWidth="1"/>
    <col min="2562" max="2562" width="16.28515625" style="4" customWidth="1"/>
    <col min="2563" max="2563" width="17.85546875" style="4" customWidth="1"/>
    <col min="2564" max="2564" width="10.5703125" style="4" customWidth="1"/>
    <col min="2565" max="2565" width="12.7109375" style="4" customWidth="1"/>
    <col min="2566" max="2566" width="11.7109375" style="4" customWidth="1"/>
    <col min="2567" max="2567" width="13.42578125" style="4" customWidth="1"/>
    <col min="2568" max="2568" width="13.140625" style="4" customWidth="1"/>
    <col min="2569" max="2569" width="18.140625" style="4" customWidth="1"/>
    <col min="2570" max="2570" width="15.85546875" style="4" customWidth="1"/>
    <col min="2571" max="2571" width="25.42578125" style="4" customWidth="1"/>
    <col min="2572" max="2572" width="27.7109375" style="4" customWidth="1"/>
    <col min="2573" max="2816" width="9.140625" style="4"/>
    <col min="2817" max="2817" width="38.85546875" style="4" customWidth="1"/>
    <col min="2818" max="2818" width="16.28515625" style="4" customWidth="1"/>
    <col min="2819" max="2819" width="17.85546875" style="4" customWidth="1"/>
    <col min="2820" max="2820" width="10.5703125" style="4" customWidth="1"/>
    <col min="2821" max="2821" width="12.7109375" style="4" customWidth="1"/>
    <col min="2822" max="2822" width="11.7109375" style="4" customWidth="1"/>
    <col min="2823" max="2823" width="13.42578125" style="4" customWidth="1"/>
    <col min="2824" max="2824" width="13.140625" style="4" customWidth="1"/>
    <col min="2825" max="2825" width="18.140625" style="4" customWidth="1"/>
    <col min="2826" max="2826" width="15.85546875" style="4" customWidth="1"/>
    <col min="2827" max="2827" width="25.42578125" style="4" customWidth="1"/>
    <col min="2828" max="2828" width="27.7109375" style="4" customWidth="1"/>
    <col min="2829" max="3072" width="9.140625" style="4"/>
    <col min="3073" max="3073" width="38.85546875" style="4" customWidth="1"/>
    <col min="3074" max="3074" width="16.28515625" style="4" customWidth="1"/>
    <col min="3075" max="3075" width="17.85546875" style="4" customWidth="1"/>
    <col min="3076" max="3076" width="10.5703125" style="4" customWidth="1"/>
    <col min="3077" max="3077" width="12.7109375" style="4" customWidth="1"/>
    <col min="3078" max="3078" width="11.7109375" style="4" customWidth="1"/>
    <col min="3079" max="3079" width="13.42578125" style="4" customWidth="1"/>
    <col min="3080" max="3080" width="13.140625" style="4" customWidth="1"/>
    <col min="3081" max="3081" width="18.140625" style="4" customWidth="1"/>
    <col min="3082" max="3082" width="15.85546875" style="4" customWidth="1"/>
    <col min="3083" max="3083" width="25.42578125" style="4" customWidth="1"/>
    <col min="3084" max="3084" width="27.7109375" style="4" customWidth="1"/>
    <col min="3085" max="3328" width="9.140625" style="4"/>
    <col min="3329" max="3329" width="38.85546875" style="4" customWidth="1"/>
    <col min="3330" max="3330" width="16.28515625" style="4" customWidth="1"/>
    <col min="3331" max="3331" width="17.85546875" style="4" customWidth="1"/>
    <col min="3332" max="3332" width="10.5703125" style="4" customWidth="1"/>
    <col min="3333" max="3333" width="12.7109375" style="4" customWidth="1"/>
    <col min="3334" max="3334" width="11.7109375" style="4" customWidth="1"/>
    <col min="3335" max="3335" width="13.42578125" style="4" customWidth="1"/>
    <col min="3336" max="3336" width="13.140625" style="4" customWidth="1"/>
    <col min="3337" max="3337" width="18.140625" style="4" customWidth="1"/>
    <col min="3338" max="3338" width="15.85546875" style="4" customWidth="1"/>
    <col min="3339" max="3339" width="25.42578125" style="4" customWidth="1"/>
    <col min="3340" max="3340" width="27.7109375" style="4" customWidth="1"/>
    <col min="3341" max="3584" width="9.140625" style="4"/>
    <col min="3585" max="3585" width="38.85546875" style="4" customWidth="1"/>
    <col min="3586" max="3586" width="16.28515625" style="4" customWidth="1"/>
    <col min="3587" max="3587" width="17.85546875" style="4" customWidth="1"/>
    <col min="3588" max="3588" width="10.5703125" style="4" customWidth="1"/>
    <col min="3589" max="3589" width="12.7109375" style="4" customWidth="1"/>
    <col min="3590" max="3590" width="11.7109375" style="4" customWidth="1"/>
    <col min="3591" max="3591" width="13.42578125" style="4" customWidth="1"/>
    <col min="3592" max="3592" width="13.140625" style="4" customWidth="1"/>
    <col min="3593" max="3593" width="18.140625" style="4" customWidth="1"/>
    <col min="3594" max="3594" width="15.85546875" style="4" customWidth="1"/>
    <col min="3595" max="3595" width="25.42578125" style="4" customWidth="1"/>
    <col min="3596" max="3596" width="27.7109375" style="4" customWidth="1"/>
    <col min="3597" max="3840" width="9.140625" style="4"/>
    <col min="3841" max="3841" width="38.85546875" style="4" customWidth="1"/>
    <col min="3842" max="3842" width="16.28515625" style="4" customWidth="1"/>
    <col min="3843" max="3843" width="17.85546875" style="4" customWidth="1"/>
    <col min="3844" max="3844" width="10.5703125" style="4" customWidth="1"/>
    <col min="3845" max="3845" width="12.7109375" style="4" customWidth="1"/>
    <col min="3846" max="3846" width="11.7109375" style="4" customWidth="1"/>
    <col min="3847" max="3847" width="13.42578125" style="4" customWidth="1"/>
    <col min="3848" max="3848" width="13.140625" style="4" customWidth="1"/>
    <col min="3849" max="3849" width="18.140625" style="4" customWidth="1"/>
    <col min="3850" max="3850" width="15.85546875" style="4" customWidth="1"/>
    <col min="3851" max="3851" width="25.42578125" style="4" customWidth="1"/>
    <col min="3852" max="3852" width="27.7109375" style="4" customWidth="1"/>
    <col min="3853" max="4096" width="9.140625" style="4"/>
    <col min="4097" max="4097" width="38.85546875" style="4" customWidth="1"/>
    <col min="4098" max="4098" width="16.28515625" style="4" customWidth="1"/>
    <col min="4099" max="4099" width="17.85546875" style="4" customWidth="1"/>
    <col min="4100" max="4100" width="10.5703125" style="4" customWidth="1"/>
    <col min="4101" max="4101" width="12.7109375" style="4" customWidth="1"/>
    <col min="4102" max="4102" width="11.7109375" style="4" customWidth="1"/>
    <col min="4103" max="4103" width="13.42578125" style="4" customWidth="1"/>
    <col min="4104" max="4104" width="13.140625" style="4" customWidth="1"/>
    <col min="4105" max="4105" width="18.140625" style="4" customWidth="1"/>
    <col min="4106" max="4106" width="15.85546875" style="4" customWidth="1"/>
    <col min="4107" max="4107" width="25.42578125" style="4" customWidth="1"/>
    <col min="4108" max="4108" width="27.7109375" style="4" customWidth="1"/>
    <col min="4109" max="4352" width="9.140625" style="4"/>
    <col min="4353" max="4353" width="38.85546875" style="4" customWidth="1"/>
    <col min="4354" max="4354" width="16.28515625" style="4" customWidth="1"/>
    <col min="4355" max="4355" width="17.85546875" style="4" customWidth="1"/>
    <col min="4356" max="4356" width="10.5703125" style="4" customWidth="1"/>
    <col min="4357" max="4357" width="12.7109375" style="4" customWidth="1"/>
    <col min="4358" max="4358" width="11.7109375" style="4" customWidth="1"/>
    <col min="4359" max="4359" width="13.42578125" style="4" customWidth="1"/>
    <col min="4360" max="4360" width="13.140625" style="4" customWidth="1"/>
    <col min="4361" max="4361" width="18.140625" style="4" customWidth="1"/>
    <col min="4362" max="4362" width="15.85546875" style="4" customWidth="1"/>
    <col min="4363" max="4363" width="25.42578125" style="4" customWidth="1"/>
    <col min="4364" max="4364" width="27.7109375" style="4" customWidth="1"/>
    <col min="4365" max="4608" width="9.140625" style="4"/>
    <col min="4609" max="4609" width="38.85546875" style="4" customWidth="1"/>
    <col min="4610" max="4610" width="16.28515625" style="4" customWidth="1"/>
    <col min="4611" max="4611" width="17.85546875" style="4" customWidth="1"/>
    <col min="4612" max="4612" width="10.5703125" style="4" customWidth="1"/>
    <col min="4613" max="4613" width="12.7109375" style="4" customWidth="1"/>
    <col min="4614" max="4614" width="11.7109375" style="4" customWidth="1"/>
    <col min="4615" max="4615" width="13.42578125" style="4" customWidth="1"/>
    <col min="4616" max="4616" width="13.140625" style="4" customWidth="1"/>
    <col min="4617" max="4617" width="18.140625" style="4" customWidth="1"/>
    <col min="4618" max="4618" width="15.85546875" style="4" customWidth="1"/>
    <col min="4619" max="4619" width="25.42578125" style="4" customWidth="1"/>
    <col min="4620" max="4620" width="27.7109375" style="4" customWidth="1"/>
    <col min="4621" max="4864" width="9.140625" style="4"/>
    <col min="4865" max="4865" width="38.85546875" style="4" customWidth="1"/>
    <col min="4866" max="4866" width="16.28515625" style="4" customWidth="1"/>
    <col min="4867" max="4867" width="17.85546875" style="4" customWidth="1"/>
    <col min="4868" max="4868" width="10.5703125" style="4" customWidth="1"/>
    <col min="4869" max="4869" width="12.7109375" style="4" customWidth="1"/>
    <col min="4870" max="4870" width="11.7109375" style="4" customWidth="1"/>
    <col min="4871" max="4871" width="13.42578125" style="4" customWidth="1"/>
    <col min="4872" max="4872" width="13.140625" style="4" customWidth="1"/>
    <col min="4873" max="4873" width="18.140625" style="4" customWidth="1"/>
    <col min="4874" max="4874" width="15.85546875" style="4" customWidth="1"/>
    <col min="4875" max="4875" width="25.42578125" style="4" customWidth="1"/>
    <col min="4876" max="4876" width="27.7109375" style="4" customWidth="1"/>
    <col min="4877" max="5120" width="9.140625" style="4"/>
    <col min="5121" max="5121" width="38.85546875" style="4" customWidth="1"/>
    <col min="5122" max="5122" width="16.28515625" style="4" customWidth="1"/>
    <col min="5123" max="5123" width="17.85546875" style="4" customWidth="1"/>
    <col min="5124" max="5124" width="10.5703125" style="4" customWidth="1"/>
    <col min="5125" max="5125" width="12.7109375" style="4" customWidth="1"/>
    <col min="5126" max="5126" width="11.7109375" style="4" customWidth="1"/>
    <col min="5127" max="5127" width="13.42578125" style="4" customWidth="1"/>
    <col min="5128" max="5128" width="13.140625" style="4" customWidth="1"/>
    <col min="5129" max="5129" width="18.140625" style="4" customWidth="1"/>
    <col min="5130" max="5130" width="15.85546875" style="4" customWidth="1"/>
    <col min="5131" max="5131" width="25.42578125" style="4" customWidth="1"/>
    <col min="5132" max="5132" width="27.7109375" style="4" customWidth="1"/>
    <col min="5133" max="5376" width="9.140625" style="4"/>
    <col min="5377" max="5377" width="38.85546875" style="4" customWidth="1"/>
    <col min="5378" max="5378" width="16.28515625" style="4" customWidth="1"/>
    <col min="5379" max="5379" width="17.85546875" style="4" customWidth="1"/>
    <col min="5380" max="5380" width="10.5703125" style="4" customWidth="1"/>
    <col min="5381" max="5381" width="12.7109375" style="4" customWidth="1"/>
    <col min="5382" max="5382" width="11.7109375" style="4" customWidth="1"/>
    <col min="5383" max="5383" width="13.42578125" style="4" customWidth="1"/>
    <col min="5384" max="5384" width="13.140625" style="4" customWidth="1"/>
    <col min="5385" max="5385" width="18.140625" style="4" customWidth="1"/>
    <col min="5386" max="5386" width="15.85546875" style="4" customWidth="1"/>
    <col min="5387" max="5387" width="25.42578125" style="4" customWidth="1"/>
    <col min="5388" max="5388" width="27.7109375" style="4" customWidth="1"/>
    <col min="5389" max="5632" width="9.140625" style="4"/>
    <col min="5633" max="5633" width="38.85546875" style="4" customWidth="1"/>
    <col min="5634" max="5634" width="16.28515625" style="4" customWidth="1"/>
    <col min="5635" max="5635" width="17.85546875" style="4" customWidth="1"/>
    <col min="5636" max="5636" width="10.5703125" style="4" customWidth="1"/>
    <col min="5637" max="5637" width="12.7109375" style="4" customWidth="1"/>
    <col min="5638" max="5638" width="11.7109375" style="4" customWidth="1"/>
    <col min="5639" max="5639" width="13.42578125" style="4" customWidth="1"/>
    <col min="5640" max="5640" width="13.140625" style="4" customWidth="1"/>
    <col min="5641" max="5641" width="18.140625" style="4" customWidth="1"/>
    <col min="5642" max="5642" width="15.85546875" style="4" customWidth="1"/>
    <col min="5643" max="5643" width="25.42578125" style="4" customWidth="1"/>
    <col min="5644" max="5644" width="27.7109375" style="4" customWidth="1"/>
    <col min="5645" max="5888" width="9.140625" style="4"/>
    <col min="5889" max="5889" width="38.85546875" style="4" customWidth="1"/>
    <col min="5890" max="5890" width="16.28515625" style="4" customWidth="1"/>
    <col min="5891" max="5891" width="17.85546875" style="4" customWidth="1"/>
    <col min="5892" max="5892" width="10.5703125" style="4" customWidth="1"/>
    <col min="5893" max="5893" width="12.7109375" style="4" customWidth="1"/>
    <col min="5894" max="5894" width="11.7109375" style="4" customWidth="1"/>
    <col min="5895" max="5895" width="13.42578125" style="4" customWidth="1"/>
    <col min="5896" max="5896" width="13.140625" style="4" customWidth="1"/>
    <col min="5897" max="5897" width="18.140625" style="4" customWidth="1"/>
    <col min="5898" max="5898" width="15.85546875" style="4" customWidth="1"/>
    <col min="5899" max="5899" width="25.42578125" style="4" customWidth="1"/>
    <col min="5900" max="5900" width="27.7109375" style="4" customWidth="1"/>
    <col min="5901" max="6144" width="9.140625" style="4"/>
    <col min="6145" max="6145" width="38.85546875" style="4" customWidth="1"/>
    <col min="6146" max="6146" width="16.28515625" style="4" customWidth="1"/>
    <col min="6147" max="6147" width="17.85546875" style="4" customWidth="1"/>
    <col min="6148" max="6148" width="10.5703125" style="4" customWidth="1"/>
    <col min="6149" max="6149" width="12.7109375" style="4" customWidth="1"/>
    <col min="6150" max="6150" width="11.7109375" style="4" customWidth="1"/>
    <col min="6151" max="6151" width="13.42578125" style="4" customWidth="1"/>
    <col min="6152" max="6152" width="13.140625" style="4" customWidth="1"/>
    <col min="6153" max="6153" width="18.140625" style="4" customWidth="1"/>
    <col min="6154" max="6154" width="15.85546875" style="4" customWidth="1"/>
    <col min="6155" max="6155" width="25.42578125" style="4" customWidth="1"/>
    <col min="6156" max="6156" width="27.7109375" style="4" customWidth="1"/>
    <col min="6157" max="6400" width="9.140625" style="4"/>
    <col min="6401" max="6401" width="38.85546875" style="4" customWidth="1"/>
    <col min="6402" max="6402" width="16.28515625" style="4" customWidth="1"/>
    <col min="6403" max="6403" width="17.85546875" style="4" customWidth="1"/>
    <col min="6404" max="6404" width="10.5703125" style="4" customWidth="1"/>
    <col min="6405" max="6405" width="12.7109375" style="4" customWidth="1"/>
    <col min="6406" max="6406" width="11.7109375" style="4" customWidth="1"/>
    <col min="6407" max="6407" width="13.42578125" style="4" customWidth="1"/>
    <col min="6408" max="6408" width="13.140625" style="4" customWidth="1"/>
    <col min="6409" max="6409" width="18.140625" style="4" customWidth="1"/>
    <col min="6410" max="6410" width="15.85546875" style="4" customWidth="1"/>
    <col min="6411" max="6411" width="25.42578125" style="4" customWidth="1"/>
    <col min="6412" max="6412" width="27.7109375" style="4" customWidth="1"/>
    <col min="6413" max="6656" width="9.140625" style="4"/>
    <col min="6657" max="6657" width="38.85546875" style="4" customWidth="1"/>
    <col min="6658" max="6658" width="16.28515625" style="4" customWidth="1"/>
    <col min="6659" max="6659" width="17.85546875" style="4" customWidth="1"/>
    <col min="6660" max="6660" width="10.5703125" style="4" customWidth="1"/>
    <col min="6661" max="6661" width="12.7109375" style="4" customWidth="1"/>
    <col min="6662" max="6662" width="11.7109375" style="4" customWidth="1"/>
    <col min="6663" max="6663" width="13.42578125" style="4" customWidth="1"/>
    <col min="6664" max="6664" width="13.140625" style="4" customWidth="1"/>
    <col min="6665" max="6665" width="18.140625" style="4" customWidth="1"/>
    <col min="6666" max="6666" width="15.85546875" style="4" customWidth="1"/>
    <col min="6667" max="6667" width="25.42578125" style="4" customWidth="1"/>
    <col min="6668" max="6668" width="27.7109375" style="4" customWidth="1"/>
    <col min="6669" max="6912" width="9.140625" style="4"/>
    <col min="6913" max="6913" width="38.85546875" style="4" customWidth="1"/>
    <col min="6914" max="6914" width="16.28515625" style="4" customWidth="1"/>
    <col min="6915" max="6915" width="17.85546875" style="4" customWidth="1"/>
    <col min="6916" max="6916" width="10.5703125" style="4" customWidth="1"/>
    <col min="6917" max="6917" width="12.7109375" style="4" customWidth="1"/>
    <col min="6918" max="6918" width="11.7109375" style="4" customWidth="1"/>
    <col min="6919" max="6919" width="13.42578125" style="4" customWidth="1"/>
    <col min="6920" max="6920" width="13.140625" style="4" customWidth="1"/>
    <col min="6921" max="6921" width="18.140625" style="4" customWidth="1"/>
    <col min="6922" max="6922" width="15.85546875" style="4" customWidth="1"/>
    <col min="6923" max="6923" width="25.42578125" style="4" customWidth="1"/>
    <col min="6924" max="6924" width="27.7109375" style="4" customWidth="1"/>
    <col min="6925" max="7168" width="9.140625" style="4"/>
    <col min="7169" max="7169" width="38.85546875" style="4" customWidth="1"/>
    <col min="7170" max="7170" width="16.28515625" style="4" customWidth="1"/>
    <col min="7171" max="7171" width="17.85546875" style="4" customWidth="1"/>
    <col min="7172" max="7172" width="10.5703125" style="4" customWidth="1"/>
    <col min="7173" max="7173" width="12.7109375" style="4" customWidth="1"/>
    <col min="7174" max="7174" width="11.7109375" style="4" customWidth="1"/>
    <col min="7175" max="7175" width="13.42578125" style="4" customWidth="1"/>
    <col min="7176" max="7176" width="13.140625" style="4" customWidth="1"/>
    <col min="7177" max="7177" width="18.140625" style="4" customWidth="1"/>
    <col min="7178" max="7178" width="15.85546875" style="4" customWidth="1"/>
    <col min="7179" max="7179" width="25.42578125" style="4" customWidth="1"/>
    <col min="7180" max="7180" width="27.7109375" style="4" customWidth="1"/>
    <col min="7181" max="7424" width="9.140625" style="4"/>
    <col min="7425" max="7425" width="38.85546875" style="4" customWidth="1"/>
    <col min="7426" max="7426" width="16.28515625" style="4" customWidth="1"/>
    <col min="7427" max="7427" width="17.85546875" style="4" customWidth="1"/>
    <col min="7428" max="7428" width="10.5703125" style="4" customWidth="1"/>
    <col min="7429" max="7429" width="12.7109375" style="4" customWidth="1"/>
    <col min="7430" max="7430" width="11.7109375" style="4" customWidth="1"/>
    <col min="7431" max="7431" width="13.42578125" style="4" customWidth="1"/>
    <col min="7432" max="7432" width="13.140625" style="4" customWidth="1"/>
    <col min="7433" max="7433" width="18.140625" style="4" customWidth="1"/>
    <col min="7434" max="7434" width="15.85546875" style="4" customWidth="1"/>
    <col min="7435" max="7435" width="25.42578125" style="4" customWidth="1"/>
    <col min="7436" max="7436" width="27.7109375" style="4" customWidth="1"/>
    <col min="7437" max="7680" width="9.140625" style="4"/>
    <col min="7681" max="7681" width="38.85546875" style="4" customWidth="1"/>
    <col min="7682" max="7682" width="16.28515625" style="4" customWidth="1"/>
    <col min="7683" max="7683" width="17.85546875" style="4" customWidth="1"/>
    <col min="7684" max="7684" width="10.5703125" style="4" customWidth="1"/>
    <col min="7685" max="7685" width="12.7109375" style="4" customWidth="1"/>
    <col min="7686" max="7686" width="11.7109375" style="4" customWidth="1"/>
    <col min="7687" max="7687" width="13.42578125" style="4" customWidth="1"/>
    <col min="7688" max="7688" width="13.140625" style="4" customWidth="1"/>
    <col min="7689" max="7689" width="18.140625" style="4" customWidth="1"/>
    <col min="7690" max="7690" width="15.85546875" style="4" customWidth="1"/>
    <col min="7691" max="7691" width="25.42578125" style="4" customWidth="1"/>
    <col min="7692" max="7692" width="27.7109375" style="4" customWidth="1"/>
    <col min="7693" max="7936" width="9.140625" style="4"/>
    <col min="7937" max="7937" width="38.85546875" style="4" customWidth="1"/>
    <col min="7938" max="7938" width="16.28515625" style="4" customWidth="1"/>
    <col min="7939" max="7939" width="17.85546875" style="4" customWidth="1"/>
    <col min="7940" max="7940" width="10.5703125" style="4" customWidth="1"/>
    <col min="7941" max="7941" width="12.7109375" style="4" customWidth="1"/>
    <col min="7942" max="7942" width="11.7109375" style="4" customWidth="1"/>
    <col min="7943" max="7943" width="13.42578125" style="4" customWidth="1"/>
    <col min="7944" max="7944" width="13.140625" style="4" customWidth="1"/>
    <col min="7945" max="7945" width="18.140625" style="4" customWidth="1"/>
    <col min="7946" max="7946" width="15.85546875" style="4" customWidth="1"/>
    <col min="7947" max="7947" width="25.42578125" style="4" customWidth="1"/>
    <col min="7948" max="7948" width="27.7109375" style="4" customWidth="1"/>
    <col min="7949" max="8192" width="9.140625" style="4"/>
    <col min="8193" max="8193" width="38.85546875" style="4" customWidth="1"/>
    <col min="8194" max="8194" width="16.28515625" style="4" customWidth="1"/>
    <col min="8195" max="8195" width="17.85546875" style="4" customWidth="1"/>
    <col min="8196" max="8196" width="10.5703125" style="4" customWidth="1"/>
    <col min="8197" max="8197" width="12.7109375" style="4" customWidth="1"/>
    <col min="8198" max="8198" width="11.7109375" style="4" customWidth="1"/>
    <col min="8199" max="8199" width="13.42578125" style="4" customWidth="1"/>
    <col min="8200" max="8200" width="13.140625" style="4" customWidth="1"/>
    <col min="8201" max="8201" width="18.140625" style="4" customWidth="1"/>
    <col min="8202" max="8202" width="15.85546875" style="4" customWidth="1"/>
    <col min="8203" max="8203" width="25.42578125" style="4" customWidth="1"/>
    <col min="8204" max="8204" width="27.7109375" style="4" customWidth="1"/>
    <col min="8205" max="8448" width="9.140625" style="4"/>
    <col min="8449" max="8449" width="38.85546875" style="4" customWidth="1"/>
    <col min="8450" max="8450" width="16.28515625" style="4" customWidth="1"/>
    <col min="8451" max="8451" width="17.85546875" style="4" customWidth="1"/>
    <col min="8452" max="8452" width="10.5703125" style="4" customWidth="1"/>
    <col min="8453" max="8453" width="12.7109375" style="4" customWidth="1"/>
    <col min="8454" max="8454" width="11.7109375" style="4" customWidth="1"/>
    <col min="8455" max="8455" width="13.42578125" style="4" customWidth="1"/>
    <col min="8456" max="8456" width="13.140625" style="4" customWidth="1"/>
    <col min="8457" max="8457" width="18.140625" style="4" customWidth="1"/>
    <col min="8458" max="8458" width="15.85546875" style="4" customWidth="1"/>
    <col min="8459" max="8459" width="25.42578125" style="4" customWidth="1"/>
    <col min="8460" max="8460" width="27.7109375" style="4" customWidth="1"/>
    <col min="8461" max="8704" width="9.140625" style="4"/>
    <col min="8705" max="8705" width="38.85546875" style="4" customWidth="1"/>
    <col min="8706" max="8706" width="16.28515625" style="4" customWidth="1"/>
    <col min="8707" max="8707" width="17.85546875" style="4" customWidth="1"/>
    <col min="8708" max="8708" width="10.5703125" style="4" customWidth="1"/>
    <col min="8709" max="8709" width="12.7109375" style="4" customWidth="1"/>
    <col min="8710" max="8710" width="11.7109375" style="4" customWidth="1"/>
    <col min="8711" max="8711" width="13.42578125" style="4" customWidth="1"/>
    <col min="8712" max="8712" width="13.140625" style="4" customWidth="1"/>
    <col min="8713" max="8713" width="18.140625" style="4" customWidth="1"/>
    <col min="8714" max="8714" width="15.85546875" style="4" customWidth="1"/>
    <col min="8715" max="8715" width="25.42578125" style="4" customWidth="1"/>
    <col min="8716" max="8716" width="27.7109375" style="4" customWidth="1"/>
    <col min="8717" max="8960" width="9.140625" style="4"/>
    <col min="8961" max="8961" width="38.85546875" style="4" customWidth="1"/>
    <col min="8962" max="8962" width="16.28515625" style="4" customWidth="1"/>
    <col min="8963" max="8963" width="17.85546875" style="4" customWidth="1"/>
    <col min="8964" max="8964" width="10.5703125" style="4" customWidth="1"/>
    <col min="8965" max="8965" width="12.7109375" style="4" customWidth="1"/>
    <col min="8966" max="8966" width="11.7109375" style="4" customWidth="1"/>
    <col min="8967" max="8967" width="13.42578125" style="4" customWidth="1"/>
    <col min="8968" max="8968" width="13.140625" style="4" customWidth="1"/>
    <col min="8969" max="8969" width="18.140625" style="4" customWidth="1"/>
    <col min="8970" max="8970" width="15.85546875" style="4" customWidth="1"/>
    <col min="8971" max="8971" width="25.42578125" style="4" customWidth="1"/>
    <col min="8972" max="8972" width="27.7109375" style="4" customWidth="1"/>
    <col min="8973" max="9216" width="9.140625" style="4"/>
    <col min="9217" max="9217" width="38.85546875" style="4" customWidth="1"/>
    <col min="9218" max="9218" width="16.28515625" style="4" customWidth="1"/>
    <col min="9219" max="9219" width="17.85546875" style="4" customWidth="1"/>
    <col min="9220" max="9220" width="10.5703125" style="4" customWidth="1"/>
    <col min="9221" max="9221" width="12.7109375" style="4" customWidth="1"/>
    <col min="9222" max="9222" width="11.7109375" style="4" customWidth="1"/>
    <col min="9223" max="9223" width="13.42578125" style="4" customWidth="1"/>
    <col min="9224" max="9224" width="13.140625" style="4" customWidth="1"/>
    <col min="9225" max="9225" width="18.140625" style="4" customWidth="1"/>
    <col min="9226" max="9226" width="15.85546875" style="4" customWidth="1"/>
    <col min="9227" max="9227" width="25.42578125" style="4" customWidth="1"/>
    <col min="9228" max="9228" width="27.7109375" style="4" customWidth="1"/>
    <col min="9229" max="9472" width="9.140625" style="4"/>
    <col min="9473" max="9473" width="38.85546875" style="4" customWidth="1"/>
    <col min="9474" max="9474" width="16.28515625" style="4" customWidth="1"/>
    <col min="9475" max="9475" width="17.85546875" style="4" customWidth="1"/>
    <col min="9476" max="9476" width="10.5703125" style="4" customWidth="1"/>
    <col min="9477" max="9477" width="12.7109375" style="4" customWidth="1"/>
    <col min="9478" max="9478" width="11.7109375" style="4" customWidth="1"/>
    <col min="9479" max="9479" width="13.42578125" style="4" customWidth="1"/>
    <col min="9480" max="9480" width="13.140625" style="4" customWidth="1"/>
    <col min="9481" max="9481" width="18.140625" style="4" customWidth="1"/>
    <col min="9482" max="9482" width="15.85546875" style="4" customWidth="1"/>
    <col min="9483" max="9483" width="25.42578125" style="4" customWidth="1"/>
    <col min="9484" max="9484" width="27.7109375" style="4" customWidth="1"/>
    <col min="9485" max="9728" width="9.140625" style="4"/>
    <col min="9729" max="9729" width="38.85546875" style="4" customWidth="1"/>
    <col min="9730" max="9730" width="16.28515625" style="4" customWidth="1"/>
    <col min="9731" max="9731" width="17.85546875" style="4" customWidth="1"/>
    <col min="9732" max="9732" width="10.5703125" style="4" customWidth="1"/>
    <col min="9733" max="9733" width="12.7109375" style="4" customWidth="1"/>
    <col min="9734" max="9734" width="11.7109375" style="4" customWidth="1"/>
    <col min="9735" max="9735" width="13.42578125" style="4" customWidth="1"/>
    <col min="9736" max="9736" width="13.140625" style="4" customWidth="1"/>
    <col min="9737" max="9737" width="18.140625" style="4" customWidth="1"/>
    <col min="9738" max="9738" width="15.85546875" style="4" customWidth="1"/>
    <col min="9739" max="9739" width="25.42578125" style="4" customWidth="1"/>
    <col min="9740" max="9740" width="27.7109375" style="4" customWidth="1"/>
    <col min="9741" max="9984" width="9.140625" style="4"/>
    <col min="9985" max="9985" width="38.85546875" style="4" customWidth="1"/>
    <col min="9986" max="9986" width="16.28515625" style="4" customWidth="1"/>
    <col min="9987" max="9987" width="17.85546875" style="4" customWidth="1"/>
    <col min="9988" max="9988" width="10.5703125" style="4" customWidth="1"/>
    <col min="9989" max="9989" width="12.7109375" style="4" customWidth="1"/>
    <col min="9990" max="9990" width="11.7109375" style="4" customWidth="1"/>
    <col min="9991" max="9991" width="13.42578125" style="4" customWidth="1"/>
    <col min="9992" max="9992" width="13.140625" style="4" customWidth="1"/>
    <col min="9993" max="9993" width="18.140625" style="4" customWidth="1"/>
    <col min="9994" max="9994" width="15.85546875" style="4" customWidth="1"/>
    <col min="9995" max="9995" width="25.42578125" style="4" customWidth="1"/>
    <col min="9996" max="9996" width="27.7109375" style="4" customWidth="1"/>
    <col min="9997" max="10240" width="9.140625" style="4"/>
    <col min="10241" max="10241" width="38.85546875" style="4" customWidth="1"/>
    <col min="10242" max="10242" width="16.28515625" style="4" customWidth="1"/>
    <col min="10243" max="10243" width="17.85546875" style="4" customWidth="1"/>
    <col min="10244" max="10244" width="10.5703125" style="4" customWidth="1"/>
    <col min="10245" max="10245" width="12.7109375" style="4" customWidth="1"/>
    <col min="10246" max="10246" width="11.7109375" style="4" customWidth="1"/>
    <col min="10247" max="10247" width="13.42578125" style="4" customWidth="1"/>
    <col min="10248" max="10248" width="13.140625" style="4" customWidth="1"/>
    <col min="10249" max="10249" width="18.140625" style="4" customWidth="1"/>
    <col min="10250" max="10250" width="15.85546875" style="4" customWidth="1"/>
    <col min="10251" max="10251" width="25.42578125" style="4" customWidth="1"/>
    <col min="10252" max="10252" width="27.7109375" style="4" customWidth="1"/>
    <col min="10253" max="10496" width="9.140625" style="4"/>
    <col min="10497" max="10497" width="38.85546875" style="4" customWidth="1"/>
    <col min="10498" max="10498" width="16.28515625" style="4" customWidth="1"/>
    <col min="10499" max="10499" width="17.85546875" style="4" customWidth="1"/>
    <col min="10500" max="10500" width="10.5703125" style="4" customWidth="1"/>
    <col min="10501" max="10501" width="12.7109375" style="4" customWidth="1"/>
    <col min="10502" max="10502" width="11.7109375" style="4" customWidth="1"/>
    <col min="10503" max="10503" width="13.42578125" style="4" customWidth="1"/>
    <col min="10504" max="10504" width="13.140625" style="4" customWidth="1"/>
    <col min="10505" max="10505" width="18.140625" style="4" customWidth="1"/>
    <col min="10506" max="10506" width="15.85546875" style="4" customWidth="1"/>
    <col min="10507" max="10507" width="25.42578125" style="4" customWidth="1"/>
    <col min="10508" max="10508" width="27.7109375" style="4" customWidth="1"/>
    <col min="10509" max="10752" width="9.140625" style="4"/>
    <col min="10753" max="10753" width="38.85546875" style="4" customWidth="1"/>
    <col min="10754" max="10754" width="16.28515625" style="4" customWidth="1"/>
    <col min="10755" max="10755" width="17.85546875" style="4" customWidth="1"/>
    <col min="10756" max="10756" width="10.5703125" style="4" customWidth="1"/>
    <col min="10757" max="10757" width="12.7109375" style="4" customWidth="1"/>
    <col min="10758" max="10758" width="11.7109375" style="4" customWidth="1"/>
    <col min="10759" max="10759" width="13.42578125" style="4" customWidth="1"/>
    <col min="10760" max="10760" width="13.140625" style="4" customWidth="1"/>
    <col min="10761" max="10761" width="18.140625" style="4" customWidth="1"/>
    <col min="10762" max="10762" width="15.85546875" style="4" customWidth="1"/>
    <col min="10763" max="10763" width="25.42578125" style="4" customWidth="1"/>
    <col min="10764" max="10764" width="27.7109375" style="4" customWidth="1"/>
    <col min="10765" max="11008" width="9.140625" style="4"/>
    <col min="11009" max="11009" width="38.85546875" style="4" customWidth="1"/>
    <col min="11010" max="11010" width="16.28515625" style="4" customWidth="1"/>
    <col min="11011" max="11011" width="17.85546875" style="4" customWidth="1"/>
    <col min="11012" max="11012" width="10.5703125" style="4" customWidth="1"/>
    <col min="11013" max="11013" width="12.7109375" style="4" customWidth="1"/>
    <col min="11014" max="11014" width="11.7109375" style="4" customWidth="1"/>
    <col min="11015" max="11015" width="13.42578125" style="4" customWidth="1"/>
    <col min="11016" max="11016" width="13.140625" style="4" customWidth="1"/>
    <col min="11017" max="11017" width="18.140625" style="4" customWidth="1"/>
    <col min="11018" max="11018" width="15.85546875" style="4" customWidth="1"/>
    <col min="11019" max="11019" width="25.42578125" style="4" customWidth="1"/>
    <col min="11020" max="11020" width="27.7109375" style="4" customWidth="1"/>
    <col min="11021" max="11264" width="9.140625" style="4"/>
    <col min="11265" max="11265" width="38.85546875" style="4" customWidth="1"/>
    <col min="11266" max="11266" width="16.28515625" style="4" customWidth="1"/>
    <col min="11267" max="11267" width="17.85546875" style="4" customWidth="1"/>
    <col min="11268" max="11268" width="10.5703125" style="4" customWidth="1"/>
    <col min="11269" max="11269" width="12.7109375" style="4" customWidth="1"/>
    <col min="11270" max="11270" width="11.7109375" style="4" customWidth="1"/>
    <col min="11271" max="11271" width="13.42578125" style="4" customWidth="1"/>
    <col min="11272" max="11272" width="13.140625" style="4" customWidth="1"/>
    <col min="11273" max="11273" width="18.140625" style="4" customWidth="1"/>
    <col min="11274" max="11274" width="15.85546875" style="4" customWidth="1"/>
    <col min="11275" max="11275" width="25.42578125" style="4" customWidth="1"/>
    <col min="11276" max="11276" width="27.7109375" style="4" customWidth="1"/>
    <col min="11277" max="11520" width="9.140625" style="4"/>
    <col min="11521" max="11521" width="38.85546875" style="4" customWidth="1"/>
    <col min="11522" max="11522" width="16.28515625" style="4" customWidth="1"/>
    <col min="11523" max="11523" width="17.85546875" style="4" customWidth="1"/>
    <col min="11524" max="11524" width="10.5703125" style="4" customWidth="1"/>
    <col min="11525" max="11525" width="12.7109375" style="4" customWidth="1"/>
    <col min="11526" max="11526" width="11.7109375" style="4" customWidth="1"/>
    <col min="11527" max="11527" width="13.42578125" style="4" customWidth="1"/>
    <col min="11528" max="11528" width="13.140625" style="4" customWidth="1"/>
    <col min="11529" max="11529" width="18.140625" style="4" customWidth="1"/>
    <col min="11530" max="11530" width="15.85546875" style="4" customWidth="1"/>
    <col min="11531" max="11531" width="25.42578125" style="4" customWidth="1"/>
    <col min="11532" max="11532" width="27.7109375" style="4" customWidth="1"/>
    <col min="11533" max="11776" width="9.140625" style="4"/>
    <col min="11777" max="11777" width="38.85546875" style="4" customWidth="1"/>
    <col min="11778" max="11778" width="16.28515625" style="4" customWidth="1"/>
    <col min="11779" max="11779" width="17.85546875" style="4" customWidth="1"/>
    <col min="11780" max="11780" width="10.5703125" style="4" customWidth="1"/>
    <col min="11781" max="11781" width="12.7109375" style="4" customWidth="1"/>
    <col min="11782" max="11782" width="11.7109375" style="4" customWidth="1"/>
    <col min="11783" max="11783" width="13.42578125" style="4" customWidth="1"/>
    <col min="11784" max="11784" width="13.140625" style="4" customWidth="1"/>
    <col min="11785" max="11785" width="18.140625" style="4" customWidth="1"/>
    <col min="11786" max="11786" width="15.85546875" style="4" customWidth="1"/>
    <col min="11787" max="11787" width="25.42578125" style="4" customWidth="1"/>
    <col min="11788" max="11788" width="27.7109375" style="4" customWidth="1"/>
    <col min="11789" max="12032" width="9.140625" style="4"/>
    <col min="12033" max="12033" width="38.85546875" style="4" customWidth="1"/>
    <col min="12034" max="12034" width="16.28515625" style="4" customWidth="1"/>
    <col min="12035" max="12035" width="17.85546875" style="4" customWidth="1"/>
    <col min="12036" max="12036" width="10.5703125" style="4" customWidth="1"/>
    <col min="12037" max="12037" width="12.7109375" style="4" customWidth="1"/>
    <col min="12038" max="12038" width="11.7109375" style="4" customWidth="1"/>
    <col min="12039" max="12039" width="13.42578125" style="4" customWidth="1"/>
    <col min="12040" max="12040" width="13.140625" style="4" customWidth="1"/>
    <col min="12041" max="12041" width="18.140625" style="4" customWidth="1"/>
    <col min="12042" max="12042" width="15.85546875" style="4" customWidth="1"/>
    <col min="12043" max="12043" width="25.42578125" style="4" customWidth="1"/>
    <col min="12044" max="12044" width="27.7109375" style="4" customWidth="1"/>
    <col min="12045" max="12288" width="9.140625" style="4"/>
    <col min="12289" max="12289" width="38.85546875" style="4" customWidth="1"/>
    <col min="12290" max="12290" width="16.28515625" style="4" customWidth="1"/>
    <col min="12291" max="12291" width="17.85546875" style="4" customWidth="1"/>
    <col min="12292" max="12292" width="10.5703125" style="4" customWidth="1"/>
    <col min="12293" max="12293" width="12.7109375" style="4" customWidth="1"/>
    <col min="12294" max="12294" width="11.7109375" style="4" customWidth="1"/>
    <col min="12295" max="12295" width="13.42578125" style="4" customWidth="1"/>
    <col min="12296" max="12296" width="13.140625" style="4" customWidth="1"/>
    <col min="12297" max="12297" width="18.140625" style="4" customWidth="1"/>
    <col min="12298" max="12298" width="15.85546875" style="4" customWidth="1"/>
    <col min="12299" max="12299" width="25.42578125" style="4" customWidth="1"/>
    <col min="12300" max="12300" width="27.7109375" style="4" customWidth="1"/>
    <col min="12301" max="12544" width="9.140625" style="4"/>
    <col min="12545" max="12545" width="38.85546875" style="4" customWidth="1"/>
    <col min="12546" max="12546" width="16.28515625" style="4" customWidth="1"/>
    <col min="12547" max="12547" width="17.85546875" style="4" customWidth="1"/>
    <col min="12548" max="12548" width="10.5703125" style="4" customWidth="1"/>
    <col min="12549" max="12549" width="12.7109375" style="4" customWidth="1"/>
    <col min="12550" max="12550" width="11.7109375" style="4" customWidth="1"/>
    <col min="12551" max="12551" width="13.42578125" style="4" customWidth="1"/>
    <col min="12552" max="12552" width="13.140625" style="4" customWidth="1"/>
    <col min="12553" max="12553" width="18.140625" style="4" customWidth="1"/>
    <col min="12554" max="12554" width="15.85546875" style="4" customWidth="1"/>
    <col min="12555" max="12555" width="25.42578125" style="4" customWidth="1"/>
    <col min="12556" max="12556" width="27.7109375" style="4" customWidth="1"/>
    <col min="12557" max="12800" width="9.140625" style="4"/>
    <col min="12801" max="12801" width="38.85546875" style="4" customWidth="1"/>
    <col min="12802" max="12802" width="16.28515625" style="4" customWidth="1"/>
    <col min="12803" max="12803" width="17.85546875" style="4" customWidth="1"/>
    <col min="12804" max="12804" width="10.5703125" style="4" customWidth="1"/>
    <col min="12805" max="12805" width="12.7109375" style="4" customWidth="1"/>
    <col min="12806" max="12806" width="11.7109375" style="4" customWidth="1"/>
    <col min="12807" max="12807" width="13.42578125" style="4" customWidth="1"/>
    <col min="12808" max="12808" width="13.140625" style="4" customWidth="1"/>
    <col min="12809" max="12809" width="18.140625" style="4" customWidth="1"/>
    <col min="12810" max="12810" width="15.85546875" style="4" customWidth="1"/>
    <col min="12811" max="12811" width="25.42578125" style="4" customWidth="1"/>
    <col min="12812" max="12812" width="27.7109375" style="4" customWidth="1"/>
    <col min="12813" max="13056" width="9.140625" style="4"/>
    <col min="13057" max="13057" width="38.85546875" style="4" customWidth="1"/>
    <col min="13058" max="13058" width="16.28515625" style="4" customWidth="1"/>
    <col min="13059" max="13059" width="17.85546875" style="4" customWidth="1"/>
    <col min="13060" max="13060" width="10.5703125" style="4" customWidth="1"/>
    <col min="13061" max="13061" width="12.7109375" style="4" customWidth="1"/>
    <col min="13062" max="13062" width="11.7109375" style="4" customWidth="1"/>
    <col min="13063" max="13063" width="13.42578125" style="4" customWidth="1"/>
    <col min="13064" max="13064" width="13.140625" style="4" customWidth="1"/>
    <col min="13065" max="13065" width="18.140625" style="4" customWidth="1"/>
    <col min="13066" max="13066" width="15.85546875" style="4" customWidth="1"/>
    <col min="13067" max="13067" width="25.42578125" style="4" customWidth="1"/>
    <col min="13068" max="13068" width="27.7109375" style="4" customWidth="1"/>
    <col min="13069" max="13312" width="9.140625" style="4"/>
    <col min="13313" max="13313" width="38.85546875" style="4" customWidth="1"/>
    <col min="13314" max="13314" width="16.28515625" style="4" customWidth="1"/>
    <col min="13315" max="13315" width="17.85546875" style="4" customWidth="1"/>
    <col min="13316" max="13316" width="10.5703125" style="4" customWidth="1"/>
    <col min="13317" max="13317" width="12.7109375" style="4" customWidth="1"/>
    <col min="13318" max="13318" width="11.7109375" style="4" customWidth="1"/>
    <col min="13319" max="13319" width="13.42578125" style="4" customWidth="1"/>
    <col min="13320" max="13320" width="13.140625" style="4" customWidth="1"/>
    <col min="13321" max="13321" width="18.140625" style="4" customWidth="1"/>
    <col min="13322" max="13322" width="15.85546875" style="4" customWidth="1"/>
    <col min="13323" max="13323" width="25.42578125" style="4" customWidth="1"/>
    <col min="13324" max="13324" width="27.7109375" style="4" customWidth="1"/>
    <col min="13325" max="13568" width="9.140625" style="4"/>
    <col min="13569" max="13569" width="38.85546875" style="4" customWidth="1"/>
    <col min="13570" max="13570" width="16.28515625" style="4" customWidth="1"/>
    <col min="13571" max="13571" width="17.85546875" style="4" customWidth="1"/>
    <col min="13572" max="13572" width="10.5703125" style="4" customWidth="1"/>
    <col min="13573" max="13573" width="12.7109375" style="4" customWidth="1"/>
    <col min="13574" max="13574" width="11.7109375" style="4" customWidth="1"/>
    <col min="13575" max="13575" width="13.42578125" style="4" customWidth="1"/>
    <col min="13576" max="13576" width="13.140625" style="4" customWidth="1"/>
    <col min="13577" max="13577" width="18.140625" style="4" customWidth="1"/>
    <col min="13578" max="13578" width="15.85546875" style="4" customWidth="1"/>
    <col min="13579" max="13579" width="25.42578125" style="4" customWidth="1"/>
    <col min="13580" max="13580" width="27.7109375" style="4" customWidth="1"/>
    <col min="13581" max="13824" width="9.140625" style="4"/>
    <col min="13825" max="13825" width="38.85546875" style="4" customWidth="1"/>
    <col min="13826" max="13826" width="16.28515625" style="4" customWidth="1"/>
    <col min="13827" max="13827" width="17.85546875" style="4" customWidth="1"/>
    <col min="13828" max="13828" width="10.5703125" style="4" customWidth="1"/>
    <col min="13829" max="13829" width="12.7109375" style="4" customWidth="1"/>
    <col min="13830" max="13830" width="11.7109375" style="4" customWidth="1"/>
    <col min="13831" max="13831" width="13.42578125" style="4" customWidth="1"/>
    <col min="13832" max="13832" width="13.140625" style="4" customWidth="1"/>
    <col min="13833" max="13833" width="18.140625" style="4" customWidth="1"/>
    <col min="13834" max="13834" width="15.85546875" style="4" customWidth="1"/>
    <col min="13835" max="13835" width="25.42578125" style="4" customWidth="1"/>
    <col min="13836" max="13836" width="27.7109375" style="4" customWidth="1"/>
    <col min="13837" max="14080" width="9.140625" style="4"/>
    <col min="14081" max="14081" width="38.85546875" style="4" customWidth="1"/>
    <col min="14082" max="14082" width="16.28515625" style="4" customWidth="1"/>
    <col min="14083" max="14083" width="17.85546875" style="4" customWidth="1"/>
    <col min="14084" max="14084" width="10.5703125" style="4" customWidth="1"/>
    <col min="14085" max="14085" width="12.7109375" style="4" customWidth="1"/>
    <col min="14086" max="14086" width="11.7109375" style="4" customWidth="1"/>
    <col min="14087" max="14087" width="13.42578125" style="4" customWidth="1"/>
    <col min="14088" max="14088" width="13.140625" style="4" customWidth="1"/>
    <col min="14089" max="14089" width="18.140625" style="4" customWidth="1"/>
    <col min="14090" max="14090" width="15.85546875" style="4" customWidth="1"/>
    <col min="14091" max="14091" width="25.42578125" style="4" customWidth="1"/>
    <col min="14092" max="14092" width="27.7109375" style="4" customWidth="1"/>
    <col min="14093" max="14336" width="9.140625" style="4"/>
    <col min="14337" max="14337" width="38.85546875" style="4" customWidth="1"/>
    <col min="14338" max="14338" width="16.28515625" style="4" customWidth="1"/>
    <col min="14339" max="14339" width="17.85546875" style="4" customWidth="1"/>
    <col min="14340" max="14340" width="10.5703125" style="4" customWidth="1"/>
    <col min="14341" max="14341" width="12.7109375" style="4" customWidth="1"/>
    <col min="14342" max="14342" width="11.7109375" style="4" customWidth="1"/>
    <col min="14343" max="14343" width="13.42578125" style="4" customWidth="1"/>
    <col min="14344" max="14344" width="13.140625" style="4" customWidth="1"/>
    <col min="14345" max="14345" width="18.140625" style="4" customWidth="1"/>
    <col min="14346" max="14346" width="15.85546875" style="4" customWidth="1"/>
    <col min="14347" max="14347" width="25.42578125" style="4" customWidth="1"/>
    <col min="14348" max="14348" width="27.7109375" style="4" customWidth="1"/>
    <col min="14349" max="14592" width="9.140625" style="4"/>
    <col min="14593" max="14593" width="38.85546875" style="4" customWidth="1"/>
    <col min="14594" max="14594" width="16.28515625" style="4" customWidth="1"/>
    <col min="14595" max="14595" width="17.85546875" style="4" customWidth="1"/>
    <col min="14596" max="14596" width="10.5703125" style="4" customWidth="1"/>
    <col min="14597" max="14597" width="12.7109375" style="4" customWidth="1"/>
    <col min="14598" max="14598" width="11.7109375" style="4" customWidth="1"/>
    <col min="14599" max="14599" width="13.42578125" style="4" customWidth="1"/>
    <col min="14600" max="14600" width="13.140625" style="4" customWidth="1"/>
    <col min="14601" max="14601" width="18.140625" style="4" customWidth="1"/>
    <col min="14602" max="14602" width="15.85546875" style="4" customWidth="1"/>
    <col min="14603" max="14603" width="25.42578125" style="4" customWidth="1"/>
    <col min="14604" max="14604" width="27.7109375" style="4" customWidth="1"/>
    <col min="14605" max="14848" width="9.140625" style="4"/>
    <col min="14849" max="14849" width="38.85546875" style="4" customWidth="1"/>
    <col min="14850" max="14850" width="16.28515625" style="4" customWidth="1"/>
    <col min="14851" max="14851" width="17.85546875" style="4" customWidth="1"/>
    <col min="14852" max="14852" width="10.5703125" style="4" customWidth="1"/>
    <col min="14853" max="14853" width="12.7109375" style="4" customWidth="1"/>
    <col min="14854" max="14854" width="11.7109375" style="4" customWidth="1"/>
    <col min="14855" max="14855" width="13.42578125" style="4" customWidth="1"/>
    <col min="14856" max="14856" width="13.140625" style="4" customWidth="1"/>
    <col min="14857" max="14857" width="18.140625" style="4" customWidth="1"/>
    <col min="14858" max="14858" width="15.85546875" style="4" customWidth="1"/>
    <col min="14859" max="14859" width="25.42578125" style="4" customWidth="1"/>
    <col min="14860" max="14860" width="27.7109375" style="4" customWidth="1"/>
    <col min="14861" max="15104" width="9.140625" style="4"/>
    <col min="15105" max="15105" width="38.85546875" style="4" customWidth="1"/>
    <col min="15106" max="15106" width="16.28515625" style="4" customWidth="1"/>
    <col min="15107" max="15107" width="17.85546875" style="4" customWidth="1"/>
    <col min="15108" max="15108" width="10.5703125" style="4" customWidth="1"/>
    <col min="15109" max="15109" width="12.7109375" style="4" customWidth="1"/>
    <col min="15110" max="15110" width="11.7109375" style="4" customWidth="1"/>
    <col min="15111" max="15111" width="13.42578125" style="4" customWidth="1"/>
    <col min="15112" max="15112" width="13.140625" style="4" customWidth="1"/>
    <col min="15113" max="15113" width="18.140625" style="4" customWidth="1"/>
    <col min="15114" max="15114" width="15.85546875" style="4" customWidth="1"/>
    <col min="15115" max="15115" width="25.42578125" style="4" customWidth="1"/>
    <col min="15116" max="15116" width="27.7109375" style="4" customWidth="1"/>
    <col min="15117" max="15360" width="9.140625" style="4"/>
    <col min="15361" max="15361" width="38.85546875" style="4" customWidth="1"/>
    <col min="15362" max="15362" width="16.28515625" style="4" customWidth="1"/>
    <col min="15363" max="15363" width="17.85546875" style="4" customWidth="1"/>
    <col min="15364" max="15364" width="10.5703125" style="4" customWidth="1"/>
    <col min="15365" max="15365" width="12.7109375" style="4" customWidth="1"/>
    <col min="15366" max="15366" width="11.7109375" style="4" customWidth="1"/>
    <col min="15367" max="15367" width="13.42578125" style="4" customWidth="1"/>
    <col min="15368" max="15368" width="13.140625" style="4" customWidth="1"/>
    <col min="15369" max="15369" width="18.140625" style="4" customWidth="1"/>
    <col min="15370" max="15370" width="15.85546875" style="4" customWidth="1"/>
    <col min="15371" max="15371" width="25.42578125" style="4" customWidth="1"/>
    <col min="15372" max="15372" width="27.7109375" style="4" customWidth="1"/>
    <col min="15373" max="15616" width="9.140625" style="4"/>
    <col min="15617" max="15617" width="38.85546875" style="4" customWidth="1"/>
    <col min="15618" max="15618" width="16.28515625" style="4" customWidth="1"/>
    <col min="15619" max="15619" width="17.85546875" style="4" customWidth="1"/>
    <col min="15620" max="15620" width="10.5703125" style="4" customWidth="1"/>
    <col min="15621" max="15621" width="12.7109375" style="4" customWidth="1"/>
    <col min="15622" max="15622" width="11.7109375" style="4" customWidth="1"/>
    <col min="15623" max="15623" width="13.42578125" style="4" customWidth="1"/>
    <col min="15624" max="15624" width="13.140625" style="4" customWidth="1"/>
    <col min="15625" max="15625" width="18.140625" style="4" customWidth="1"/>
    <col min="15626" max="15626" width="15.85546875" style="4" customWidth="1"/>
    <col min="15627" max="15627" width="25.42578125" style="4" customWidth="1"/>
    <col min="15628" max="15628" width="27.7109375" style="4" customWidth="1"/>
    <col min="15629" max="15872" width="9.140625" style="4"/>
    <col min="15873" max="15873" width="38.85546875" style="4" customWidth="1"/>
    <col min="15874" max="15874" width="16.28515625" style="4" customWidth="1"/>
    <col min="15875" max="15875" width="17.85546875" style="4" customWidth="1"/>
    <col min="15876" max="15876" width="10.5703125" style="4" customWidth="1"/>
    <col min="15877" max="15877" width="12.7109375" style="4" customWidth="1"/>
    <col min="15878" max="15878" width="11.7109375" style="4" customWidth="1"/>
    <col min="15879" max="15879" width="13.42578125" style="4" customWidth="1"/>
    <col min="15880" max="15880" width="13.140625" style="4" customWidth="1"/>
    <col min="15881" max="15881" width="18.140625" style="4" customWidth="1"/>
    <col min="15882" max="15882" width="15.85546875" style="4" customWidth="1"/>
    <col min="15883" max="15883" width="25.42578125" style="4" customWidth="1"/>
    <col min="15884" max="15884" width="27.7109375" style="4" customWidth="1"/>
    <col min="15885" max="16128" width="9.140625" style="4"/>
    <col min="16129" max="16129" width="38.85546875" style="4" customWidth="1"/>
    <col min="16130" max="16130" width="16.28515625" style="4" customWidth="1"/>
    <col min="16131" max="16131" width="17.85546875" style="4" customWidth="1"/>
    <col min="16132" max="16132" width="10.5703125" style="4" customWidth="1"/>
    <col min="16133" max="16133" width="12.7109375" style="4" customWidth="1"/>
    <col min="16134" max="16134" width="11.7109375" style="4" customWidth="1"/>
    <col min="16135" max="16135" width="13.42578125" style="4" customWidth="1"/>
    <col min="16136" max="16136" width="13.140625" style="4" customWidth="1"/>
    <col min="16137" max="16137" width="18.140625" style="4" customWidth="1"/>
    <col min="16138" max="16138" width="15.85546875" style="4" customWidth="1"/>
    <col min="16139" max="16139" width="25.42578125" style="4" customWidth="1"/>
    <col min="16140" max="16140" width="27.7109375" style="4" customWidth="1"/>
    <col min="16141" max="16378" width="9.140625" style="4"/>
    <col min="16379" max="16380" width="9.140625" style="4" customWidth="1"/>
    <col min="16381" max="16384" width="9.140625" style="4"/>
  </cols>
  <sheetData>
    <row r="1" spans="1:1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4" t="s">
        <v>12</v>
      </c>
      <c r="B2" s="5">
        <v>46170</v>
      </c>
      <c r="C2" s="4">
        <v>1006</v>
      </c>
      <c r="D2" s="4" t="s">
        <v>13</v>
      </c>
      <c r="E2" s="4">
        <v>1006</v>
      </c>
      <c r="F2" s="4" t="s">
        <v>14</v>
      </c>
      <c r="G2" s="6">
        <v>0.52300000000000002</v>
      </c>
      <c r="H2" s="6">
        <v>2.8969999999999998</v>
      </c>
      <c r="I2" s="6">
        <v>1720</v>
      </c>
      <c r="J2" s="4" t="s">
        <v>15</v>
      </c>
      <c r="K2" s="10" t="s">
        <v>367</v>
      </c>
      <c r="L2" s="4" t="s">
        <v>16</v>
      </c>
    </row>
    <row r="3" spans="1:12" x14ac:dyDescent="0.2">
      <c r="A3" s="4" t="s">
        <v>12</v>
      </c>
      <c r="B3" s="5">
        <v>46170</v>
      </c>
      <c r="C3" s="4">
        <v>194688</v>
      </c>
      <c r="D3" s="4" t="s">
        <v>13</v>
      </c>
      <c r="E3" s="4">
        <v>1352</v>
      </c>
      <c r="F3" s="4" t="s">
        <v>17</v>
      </c>
      <c r="G3" s="6">
        <v>0.58399999999999996</v>
      </c>
      <c r="H3" s="6">
        <v>3.1789999999999998</v>
      </c>
      <c r="I3" s="6">
        <v>3759</v>
      </c>
      <c r="J3" s="4" t="s">
        <v>15</v>
      </c>
      <c r="K3" s="10" t="s">
        <v>368</v>
      </c>
      <c r="L3" s="4" t="s">
        <v>18</v>
      </c>
    </row>
    <row r="4" spans="1:12" x14ac:dyDescent="0.2">
      <c r="A4" s="4" t="s">
        <v>12</v>
      </c>
      <c r="B4" s="5">
        <v>46170</v>
      </c>
      <c r="C4" s="4">
        <v>5760</v>
      </c>
      <c r="D4" s="4" t="s">
        <v>13</v>
      </c>
      <c r="E4" s="4">
        <v>40</v>
      </c>
      <c r="F4" s="4" t="s">
        <v>17</v>
      </c>
      <c r="G4" s="6">
        <v>1.7000000000000001E-2</v>
      </c>
      <c r="H4" s="6">
        <v>9.4E-2</v>
      </c>
      <c r="I4" s="6">
        <v>111</v>
      </c>
      <c r="J4" s="4" t="s">
        <v>15</v>
      </c>
      <c r="K4" s="10" t="s">
        <v>369</v>
      </c>
      <c r="L4" s="4" t="s">
        <v>18</v>
      </c>
    </row>
    <row r="5" spans="1:12" x14ac:dyDescent="0.2">
      <c r="A5" s="4" t="s">
        <v>12</v>
      </c>
      <c r="B5" s="5">
        <v>46170</v>
      </c>
      <c r="C5" s="4">
        <v>16200</v>
      </c>
      <c r="D5" s="4" t="s">
        <v>13</v>
      </c>
      <c r="E5" s="4">
        <v>162</v>
      </c>
      <c r="F5" s="4" t="s">
        <v>17</v>
      </c>
      <c r="G5" s="6">
        <v>0.17499999999999999</v>
      </c>
      <c r="H5" s="6">
        <v>1.1160000000000001</v>
      </c>
      <c r="I5" s="6">
        <v>6642</v>
      </c>
      <c r="J5" s="4" t="s">
        <v>15</v>
      </c>
      <c r="K5" s="10" t="s">
        <v>370</v>
      </c>
      <c r="L5" s="4" t="s">
        <v>19</v>
      </c>
    </row>
    <row r="6" spans="1:12" x14ac:dyDescent="0.2">
      <c r="A6" s="4" t="s">
        <v>12</v>
      </c>
      <c r="B6" s="5">
        <v>46170</v>
      </c>
      <c r="C6" s="4">
        <v>1130</v>
      </c>
      <c r="D6" s="4" t="s">
        <v>13</v>
      </c>
      <c r="E6" s="4">
        <v>1130</v>
      </c>
      <c r="F6" s="4" t="s">
        <v>14</v>
      </c>
      <c r="G6" s="6">
        <v>0.27100000000000002</v>
      </c>
      <c r="H6" s="6">
        <v>0.56499999999999995</v>
      </c>
      <c r="I6" s="6">
        <v>4251</v>
      </c>
      <c r="J6" s="4" t="s">
        <v>15</v>
      </c>
      <c r="K6" s="10" t="s">
        <v>20</v>
      </c>
      <c r="L6" s="4" t="s">
        <v>21</v>
      </c>
    </row>
    <row r="7" spans="1:12" x14ac:dyDescent="0.2">
      <c r="A7" s="4" t="s">
        <v>12</v>
      </c>
      <c r="B7" s="5">
        <v>46170</v>
      </c>
      <c r="C7" s="4">
        <v>14040</v>
      </c>
      <c r="D7" s="4" t="s">
        <v>13</v>
      </c>
      <c r="E7" s="4">
        <v>234</v>
      </c>
      <c r="F7" s="4" t="s">
        <v>17</v>
      </c>
      <c r="G7" s="6">
        <v>8.0000000000000002E-3</v>
      </c>
      <c r="H7" s="6">
        <v>4.2000000000000003E-2</v>
      </c>
      <c r="I7" s="6">
        <v>468</v>
      </c>
      <c r="J7" s="4" t="s">
        <v>15</v>
      </c>
      <c r="K7" s="10" t="s">
        <v>371</v>
      </c>
      <c r="L7" s="4" t="s">
        <v>22</v>
      </c>
    </row>
    <row r="8" spans="1:12" x14ac:dyDescent="0.2">
      <c r="A8" s="4" t="s">
        <v>12</v>
      </c>
      <c r="B8" s="5">
        <v>46170</v>
      </c>
      <c r="C8" s="4">
        <v>2520</v>
      </c>
      <c r="D8" s="4" t="s">
        <v>13</v>
      </c>
      <c r="E8" s="4">
        <v>42</v>
      </c>
      <c r="F8" s="4" t="s">
        <v>17</v>
      </c>
      <c r="G8" s="6">
        <v>2E-3</v>
      </c>
      <c r="H8" s="6">
        <v>8.0000000000000002E-3</v>
      </c>
      <c r="I8" s="6">
        <v>84</v>
      </c>
      <c r="J8" s="4" t="s">
        <v>15</v>
      </c>
      <c r="K8" s="10" t="s">
        <v>372</v>
      </c>
      <c r="L8" s="4" t="s">
        <v>22</v>
      </c>
    </row>
    <row r="9" spans="1:12" x14ac:dyDescent="0.2">
      <c r="A9" s="4" t="s">
        <v>12</v>
      </c>
      <c r="B9" s="5">
        <v>46170</v>
      </c>
      <c r="C9" s="4">
        <v>9511</v>
      </c>
      <c r="D9" s="4" t="s">
        <v>13</v>
      </c>
      <c r="E9" s="4">
        <v>95</v>
      </c>
      <c r="F9" s="4" t="s">
        <v>17</v>
      </c>
      <c r="G9" s="6">
        <v>0.17100000000000001</v>
      </c>
      <c r="H9" s="6">
        <v>0.47599999999999998</v>
      </c>
      <c r="I9" s="6">
        <v>6087</v>
      </c>
      <c r="J9" s="4" t="s">
        <v>15</v>
      </c>
      <c r="K9" s="10" t="s">
        <v>373</v>
      </c>
      <c r="L9" s="4" t="s">
        <v>23</v>
      </c>
    </row>
    <row r="10" spans="1:12" x14ac:dyDescent="0.2">
      <c r="A10" s="4" t="s">
        <v>12</v>
      </c>
      <c r="B10" s="5">
        <v>46170</v>
      </c>
      <c r="C10" s="4">
        <v>32600</v>
      </c>
      <c r="D10" s="4" t="s">
        <v>13</v>
      </c>
      <c r="E10" s="4">
        <v>326</v>
      </c>
      <c r="F10" s="4" t="s">
        <v>17</v>
      </c>
      <c r="G10" s="6">
        <v>0.58699999999999997</v>
      </c>
      <c r="H10" s="6">
        <v>1.63</v>
      </c>
      <c r="I10" s="6">
        <v>20864</v>
      </c>
      <c r="J10" s="4" t="s">
        <v>15</v>
      </c>
      <c r="K10" s="10" t="s">
        <v>374</v>
      </c>
      <c r="L10" s="4" t="s">
        <v>23</v>
      </c>
    </row>
    <row r="11" spans="1:12" x14ac:dyDescent="0.2">
      <c r="A11" s="4" t="s">
        <v>12</v>
      </c>
      <c r="B11" s="5">
        <v>46170</v>
      </c>
      <c r="C11" s="4">
        <v>780</v>
      </c>
      <c r="D11" s="4" t="s">
        <v>13</v>
      </c>
      <c r="E11" s="4">
        <v>13</v>
      </c>
      <c r="F11" s="4" t="s">
        <v>17</v>
      </c>
      <c r="G11" s="6">
        <v>2E-3</v>
      </c>
      <c r="H11" s="6">
        <v>5.0000000000000001E-3</v>
      </c>
      <c r="I11" s="6">
        <v>910</v>
      </c>
      <c r="J11" s="4" t="s">
        <v>15</v>
      </c>
      <c r="K11" s="10" t="s">
        <v>375</v>
      </c>
      <c r="L11" s="4" t="s">
        <v>24</v>
      </c>
    </row>
    <row r="12" spans="1:12" x14ac:dyDescent="0.2">
      <c r="A12" s="4" t="s">
        <v>12</v>
      </c>
      <c r="B12" s="5">
        <v>46170</v>
      </c>
      <c r="C12" s="4">
        <v>136416</v>
      </c>
      <c r="D12" s="4" t="s">
        <v>13</v>
      </c>
      <c r="E12" s="4">
        <v>203</v>
      </c>
      <c r="F12" s="4" t="s">
        <v>17</v>
      </c>
      <c r="G12" s="6">
        <v>0.13</v>
      </c>
      <c r="H12" s="6">
        <v>0.48699999999999999</v>
      </c>
      <c r="I12" s="6">
        <v>2590</v>
      </c>
      <c r="J12" s="4" t="s">
        <v>15</v>
      </c>
      <c r="K12" s="10" t="s">
        <v>376</v>
      </c>
      <c r="L12" s="4" t="s">
        <v>25</v>
      </c>
    </row>
    <row r="13" spans="1:12" x14ac:dyDescent="0.2">
      <c r="A13" s="4" t="s">
        <v>12</v>
      </c>
      <c r="B13" s="5">
        <v>46170</v>
      </c>
      <c r="C13" s="4">
        <v>8064</v>
      </c>
      <c r="D13" s="4" t="s">
        <v>13</v>
      </c>
      <c r="E13" s="4">
        <v>12</v>
      </c>
      <c r="F13" s="4" t="s">
        <v>17</v>
      </c>
      <c r="G13" s="6">
        <v>8.0000000000000002E-3</v>
      </c>
      <c r="H13" s="6">
        <v>3.9E-2</v>
      </c>
      <c r="I13" s="6">
        <v>156</v>
      </c>
      <c r="J13" s="4" t="s">
        <v>15</v>
      </c>
      <c r="K13" s="10" t="s">
        <v>377</v>
      </c>
      <c r="L13" s="4" t="s">
        <v>26</v>
      </c>
    </row>
    <row r="14" spans="1:12" x14ac:dyDescent="0.2">
      <c r="A14" s="4" t="s">
        <v>12</v>
      </c>
      <c r="B14" s="5">
        <v>46170</v>
      </c>
      <c r="C14" s="4">
        <v>402528</v>
      </c>
      <c r="D14" s="4" t="s">
        <v>13</v>
      </c>
      <c r="E14" s="4">
        <v>599</v>
      </c>
      <c r="F14" s="4" t="s">
        <v>17</v>
      </c>
      <c r="G14" s="6">
        <v>0.34899999999999998</v>
      </c>
      <c r="H14" s="6">
        <v>1.8160000000000001</v>
      </c>
      <c r="I14" s="6">
        <v>11782</v>
      </c>
      <c r="J14" s="4" t="s">
        <v>15</v>
      </c>
      <c r="K14" s="10" t="s">
        <v>378</v>
      </c>
      <c r="L14" s="4" t="s">
        <v>27</v>
      </c>
    </row>
    <row r="15" spans="1:12" x14ac:dyDescent="0.2">
      <c r="A15" s="4" t="s">
        <v>12</v>
      </c>
      <c r="B15" s="5">
        <v>46170</v>
      </c>
      <c r="C15" s="4">
        <v>222852</v>
      </c>
      <c r="D15" s="4" t="s">
        <v>13</v>
      </c>
      <c r="E15" s="4">
        <v>2653</v>
      </c>
      <c r="F15" s="4" t="s">
        <v>17</v>
      </c>
      <c r="G15" s="6">
        <v>0.193</v>
      </c>
      <c r="H15" s="6">
        <v>1.0049999999999999</v>
      </c>
      <c r="I15" s="6">
        <v>6394</v>
      </c>
      <c r="J15" s="4" t="s">
        <v>15</v>
      </c>
      <c r="K15" s="10" t="s">
        <v>379</v>
      </c>
      <c r="L15" s="4" t="s">
        <v>28</v>
      </c>
    </row>
    <row r="16" spans="1:12" x14ac:dyDescent="0.2">
      <c r="A16" s="4" t="s">
        <v>12</v>
      </c>
      <c r="B16" s="5">
        <v>46170</v>
      </c>
      <c r="C16" s="4">
        <v>66528</v>
      </c>
      <c r="D16" s="4" t="s">
        <v>13</v>
      </c>
      <c r="E16" s="4">
        <v>792</v>
      </c>
      <c r="F16" s="4" t="s">
        <v>17</v>
      </c>
      <c r="G16" s="6">
        <v>0.06</v>
      </c>
      <c r="H16" s="6">
        <v>0.29299999999999998</v>
      </c>
      <c r="I16" s="6">
        <v>2336</v>
      </c>
      <c r="J16" s="4" t="s">
        <v>15</v>
      </c>
      <c r="K16" s="10" t="s">
        <v>380</v>
      </c>
      <c r="L16" s="4" t="s">
        <v>29</v>
      </c>
    </row>
    <row r="17" spans="1:12" x14ac:dyDescent="0.2">
      <c r="A17" s="4" t="s">
        <v>12</v>
      </c>
      <c r="B17" s="5">
        <v>46170</v>
      </c>
      <c r="C17" s="4">
        <v>1900</v>
      </c>
      <c r="D17" s="4" t="s">
        <v>13</v>
      </c>
      <c r="E17" s="4">
        <v>19</v>
      </c>
      <c r="F17" s="4" t="s">
        <v>17</v>
      </c>
      <c r="G17" s="6">
        <v>1.0999999999999999E-2</v>
      </c>
      <c r="H17" s="6">
        <v>4.3999999999999997E-2</v>
      </c>
      <c r="I17" s="6">
        <v>67</v>
      </c>
      <c r="J17" s="4" t="s">
        <v>15</v>
      </c>
      <c r="K17" s="10" t="s">
        <v>381</v>
      </c>
      <c r="L17" s="4" t="s">
        <v>30</v>
      </c>
    </row>
    <row r="18" spans="1:12" x14ac:dyDescent="0.2">
      <c r="A18" s="4" t="s">
        <v>12</v>
      </c>
      <c r="B18" s="5">
        <v>46170</v>
      </c>
      <c r="C18" s="4">
        <v>100</v>
      </c>
      <c r="D18" s="4" t="s">
        <v>13</v>
      </c>
      <c r="E18" s="4">
        <v>1</v>
      </c>
      <c r="F18" s="4" t="s">
        <v>17</v>
      </c>
      <c r="G18" s="6">
        <v>1E-3</v>
      </c>
      <c r="H18" s="6">
        <v>2E-3</v>
      </c>
      <c r="I18" s="6">
        <v>4</v>
      </c>
      <c r="J18" s="4" t="s">
        <v>15</v>
      </c>
      <c r="K18" s="10" t="s">
        <v>381</v>
      </c>
      <c r="L18" s="4" t="s">
        <v>30</v>
      </c>
    </row>
    <row r="19" spans="1:12" x14ac:dyDescent="0.2">
      <c r="A19" s="4" t="s">
        <v>12</v>
      </c>
      <c r="B19" s="5">
        <v>46170</v>
      </c>
      <c r="C19" s="4">
        <v>3100</v>
      </c>
      <c r="D19" s="4" t="s">
        <v>13</v>
      </c>
      <c r="E19" s="4">
        <v>31</v>
      </c>
      <c r="F19" s="4" t="s">
        <v>17</v>
      </c>
      <c r="G19" s="6">
        <v>1.7999999999999999E-2</v>
      </c>
      <c r="H19" s="6">
        <v>7.2999999999999995E-2</v>
      </c>
      <c r="I19" s="6">
        <v>109</v>
      </c>
      <c r="J19" s="4" t="s">
        <v>15</v>
      </c>
      <c r="K19" s="10" t="s">
        <v>381</v>
      </c>
      <c r="L19" s="4" t="s">
        <v>30</v>
      </c>
    </row>
    <row r="20" spans="1:12" x14ac:dyDescent="0.2">
      <c r="A20" s="4" t="s">
        <v>12</v>
      </c>
      <c r="B20" s="5">
        <v>46170</v>
      </c>
      <c r="C20" s="4">
        <v>21800</v>
      </c>
      <c r="D20" s="4" t="s">
        <v>13</v>
      </c>
      <c r="E20" s="4">
        <v>38</v>
      </c>
      <c r="F20" s="4" t="s">
        <v>17</v>
      </c>
      <c r="G20" s="6">
        <v>0.13</v>
      </c>
      <c r="H20" s="6">
        <v>0.51</v>
      </c>
      <c r="I20" s="6">
        <v>763</v>
      </c>
      <c r="J20" s="4" t="s">
        <v>15</v>
      </c>
      <c r="K20" s="10" t="s">
        <v>381</v>
      </c>
      <c r="L20" s="4" t="s">
        <v>30</v>
      </c>
    </row>
    <row r="21" spans="1:12" x14ac:dyDescent="0.2">
      <c r="A21" s="4" t="s">
        <v>12</v>
      </c>
      <c r="B21" s="5">
        <v>46170</v>
      </c>
      <c r="C21" s="4">
        <v>28000</v>
      </c>
      <c r="D21" s="4" t="s">
        <v>13</v>
      </c>
      <c r="E21" s="4">
        <v>280</v>
      </c>
      <c r="F21" s="4" t="s">
        <v>17</v>
      </c>
      <c r="G21" s="6">
        <v>0.16700000000000001</v>
      </c>
      <c r="H21" s="6">
        <v>0.65500000000000003</v>
      </c>
      <c r="I21" s="6">
        <v>980</v>
      </c>
      <c r="J21" s="4" t="s">
        <v>15</v>
      </c>
      <c r="K21" s="10" t="s">
        <v>381</v>
      </c>
      <c r="L21" s="4" t="s">
        <v>30</v>
      </c>
    </row>
    <row r="22" spans="1:12" x14ac:dyDescent="0.2">
      <c r="A22" s="4" t="s">
        <v>12</v>
      </c>
      <c r="B22" s="5">
        <v>46170</v>
      </c>
      <c r="C22" s="4">
        <v>29700</v>
      </c>
      <c r="D22" s="4" t="s">
        <v>13</v>
      </c>
      <c r="E22" s="4">
        <v>297</v>
      </c>
      <c r="F22" s="4" t="s">
        <v>17</v>
      </c>
      <c r="G22" s="6">
        <v>0.17699999999999999</v>
      </c>
      <c r="H22" s="6">
        <v>0.69499999999999995</v>
      </c>
      <c r="I22" s="6">
        <v>1040</v>
      </c>
      <c r="J22" s="4" t="s">
        <v>15</v>
      </c>
      <c r="K22" s="10" t="s">
        <v>381</v>
      </c>
      <c r="L22" s="4" t="s">
        <v>30</v>
      </c>
    </row>
    <row r="23" spans="1:12" x14ac:dyDescent="0.2">
      <c r="A23" s="4" t="s">
        <v>12</v>
      </c>
      <c r="B23" s="5">
        <v>46170</v>
      </c>
      <c r="C23" s="4">
        <v>1500</v>
      </c>
      <c r="D23" s="4" t="s">
        <v>13</v>
      </c>
      <c r="E23" s="4">
        <v>15</v>
      </c>
      <c r="F23" s="4" t="s">
        <v>17</v>
      </c>
      <c r="G23" s="6">
        <v>8.9999999999999993E-3</v>
      </c>
      <c r="H23" s="6">
        <v>3.5000000000000003E-2</v>
      </c>
      <c r="I23" s="6">
        <v>53</v>
      </c>
      <c r="J23" s="4" t="s">
        <v>15</v>
      </c>
      <c r="K23" s="10" t="s">
        <v>381</v>
      </c>
      <c r="L23" s="4" t="s">
        <v>30</v>
      </c>
    </row>
    <row r="24" spans="1:12" x14ac:dyDescent="0.2">
      <c r="A24" s="4" t="s">
        <v>12</v>
      </c>
      <c r="B24" s="5">
        <v>46170</v>
      </c>
      <c r="C24" s="4">
        <v>1000</v>
      </c>
      <c r="D24" s="4" t="s">
        <v>13</v>
      </c>
      <c r="E24" s="4">
        <v>10</v>
      </c>
      <c r="F24" s="4" t="s">
        <v>17</v>
      </c>
      <c r="G24" s="6">
        <v>6.0000000000000001E-3</v>
      </c>
      <c r="H24" s="6">
        <v>2.3E-2</v>
      </c>
      <c r="I24" s="6">
        <v>35</v>
      </c>
      <c r="J24" s="4" t="s">
        <v>15</v>
      </c>
      <c r="K24" s="10" t="s">
        <v>381</v>
      </c>
      <c r="L24" s="4" t="s">
        <v>30</v>
      </c>
    </row>
    <row r="25" spans="1:12" x14ac:dyDescent="0.2">
      <c r="A25" s="4" t="s">
        <v>12</v>
      </c>
      <c r="B25" s="5">
        <v>46170</v>
      </c>
      <c r="C25" s="4">
        <v>7200</v>
      </c>
      <c r="D25" s="4" t="s">
        <v>13</v>
      </c>
      <c r="E25" s="4">
        <v>72</v>
      </c>
      <c r="F25" s="4" t="s">
        <v>17</v>
      </c>
      <c r="G25" s="6">
        <v>4.2999999999999997E-2</v>
      </c>
      <c r="H25" s="6">
        <v>0.16800000000000001</v>
      </c>
      <c r="I25" s="6">
        <v>252</v>
      </c>
      <c r="J25" s="4" t="s">
        <v>15</v>
      </c>
      <c r="K25" s="10" t="s">
        <v>381</v>
      </c>
      <c r="L25" s="4" t="s">
        <v>30</v>
      </c>
    </row>
    <row r="26" spans="1:12" x14ac:dyDescent="0.2">
      <c r="A26" s="4" t="s">
        <v>12</v>
      </c>
      <c r="B26" s="5">
        <v>46170</v>
      </c>
      <c r="C26" s="4">
        <v>1100</v>
      </c>
      <c r="D26" s="4" t="s">
        <v>13</v>
      </c>
      <c r="E26" s="4">
        <v>11</v>
      </c>
      <c r="F26" s="4" t="s">
        <v>17</v>
      </c>
      <c r="G26" s="6">
        <v>7.0000000000000001E-3</v>
      </c>
      <c r="H26" s="6">
        <v>2.5999999999999999E-2</v>
      </c>
      <c r="I26" s="6">
        <v>39</v>
      </c>
      <c r="J26" s="4" t="s">
        <v>15</v>
      </c>
      <c r="K26" s="10" t="s">
        <v>381</v>
      </c>
      <c r="L26" s="4" t="s">
        <v>30</v>
      </c>
    </row>
    <row r="27" spans="1:12" x14ac:dyDescent="0.2">
      <c r="A27" s="4" t="s">
        <v>12</v>
      </c>
      <c r="B27" s="5">
        <v>46170</v>
      </c>
      <c r="C27" s="4">
        <v>9800</v>
      </c>
      <c r="D27" s="4" t="s">
        <v>13</v>
      </c>
      <c r="E27" s="4">
        <v>98</v>
      </c>
      <c r="F27" s="4" t="s">
        <v>17</v>
      </c>
      <c r="G27" s="6">
        <v>5.8000000000000003E-2</v>
      </c>
      <c r="H27" s="6">
        <v>0.22900000000000001</v>
      </c>
      <c r="I27" s="6">
        <v>343</v>
      </c>
      <c r="J27" s="4" t="s">
        <v>15</v>
      </c>
      <c r="K27" s="10" t="s">
        <v>381</v>
      </c>
      <c r="L27" s="4" t="s">
        <v>30</v>
      </c>
    </row>
    <row r="28" spans="1:12" x14ac:dyDescent="0.2">
      <c r="A28" s="4" t="s">
        <v>12</v>
      </c>
      <c r="B28" s="5">
        <v>46170</v>
      </c>
      <c r="C28" s="4">
        <v>705120</v>
      </c>
      <c r="D28" s="4" t="s">
        <v>13</v>
      </c>
      <c r="E28" s="4">
        <v>5876</v>
      </c>
      <c r="F28" s="4" t="s">
        <v>17</v>
      </c>
      <c r="G28" s="6">
        <v>1.528</v>
      </c>
      <c r="H28" s="6">
        <v>4.1130000000000004</v>
      </c>
      <c r="I28" s="6">
        <v>105768</v>
      </c>
      <c r="J28" s="4" t="s">
        <v>15</v>
      </c>
      <c r="K28" s="10" t="s">
        <v>382</v>
      </c>
      <c r="L28" s="4" t="s">
        <v>31</v>
      </c>
    </row>
    <row r="29" spans="1:12" x14ac:dyDescent="0.2">
      <c r="A29" s="4" t="s">
        <v>12</v>
      </c>
      <c r="B29" s="5">
        <v>46170</v>
      </c>
      <c r="C29" s="4">
        <v>407760</v>
      </c>
      <c r="D29" s="4" t="s">
        <v>13</v>
      </c>
      <c r="E29" s="4">
        <v>3398</v>
      </c>
      <c r="F29" s="4" t="s">
        <v>17</v>
      </c>
      <c r="G29" s="6">
        <v>0.88300000000000001</v>
      </c>
      <c r="H29" s="6">
        <v>2.379</v>
      </c>
      <c r="I29" s="6">
        <v>61164</v>
      </c>
      <c r="J29" s="4" t="s">
        <v>15</v>
      </c>
      <c r="K29" s="10" t="s">
        <v>382</v>
      </c>
      <c r="L29" s="4" t="s">
        <v>31</v>
      </c>
    </row>
    <row r="30" spans="1:12" x14ac:dyDescent="0.2">
      <c r="A30" s="4" t="s">
        <v>12</v>
      </c>
      <c r="B30" s="5">
        <v>46170</v>
      </c>
      <c r="C30" s="4">
        <v>600</v>
      </c>
      <c r="D30" s="4" t="s">
        <v>13</v>
      </c>
      <c r="E30" s="4">
        <v>20</v>
      </c>
      <c r="F30" s="4" t="s">
        <v>17</v>
      </c>
      <c r="G30" s="6">
        <v>2E-3</v>
      </c>
      <c r="H30" s="6">
        <v>7.0000000000000001E-3</v>
      </c>
      <c r="I30" s="6">
        <v>105</v>
      </c>
      <c r="J30" s="4" t="s">
        <v>15</v>
      </c>
      <c r="K30" s="10" t="s">
        <v>383</v>
      </c>
      <c r="L30" s="4" t="s">
        <v>32</v>
      </c>
    </row>
    <row r="31" spans="1:12" x14ac:dyDescent="0.2">
      <c r="A31" s="4" t="s">
        <v>12</v>
      </c>
      <c r="B31" s="5">
        <v>46170</v>
      </c>
      <c r="C31" s="4">
        <v>92880</v>
      </c>
      <c r="D31" s="4" t="s">
        <v>13</v>
      </c>
      <c r="E31" s="4">
        <v>1548</v>
      </c>
      <c r="F31" s="4" t="s">
        <v>17</v>
      </c>
      <c r="G31" s="6">
        <v>9.2999999999999999E-2</v>
      </c>
      <c r="H31" s="6">
        <v>0.36699999999999999</v>
      </c>
      <c r="I31" s="6">
        <v>8669</v>
      </c>
      <c r="J31" s="4" t="s">
        <v>15</v>
      </c>
      <c r="K31" s="10" t="s">
        <v>384</v>
      </c>
      <c r="L31" s="4" t="s">
        <v>33</v>
      </c>
    </row>
    <row r="32" spans="1:12" x14ac:dyDescent="0.2">
      <c r="A32" s="4" t="s">
        <v>12</v>
      </c>
      <c r="B32" s="5">
        <v>46170</v>
      </c>
      <c r="C32" s="4">
        <v>115</v>
      </c>
      <c r="D32" s="4" t="s">
        <v>13</v>
      </c>
      <c r="E32" s="4">
        <v>1</v>
      </c>
      <c r="F32" s="4" t="s">
        <v>17</v>
      </c>
      <c r="G32" s="6">
        <v>0.125</v>
      </c>
      <c r="H32" s="6">
        <v>0.19700000000000001</v>
      </c>
      <c r="I32" s="6">
        <v>690</v>
      </c>
      <c r="J32" s="4" t="s">
        <v>15</v>
      </c>
      <c r="K32" s="10" t="s">
        <v>34</v>
      </c>
      <c r="L32" s="4" t="s">
        <v>35</v>
      </c>
    </row>
    <row r="33" spans="1:12" x14ac:dyDescent="0.2">
      <c r="A33" s="4" t="s">
        <v>12</v>
      </c>
      <c r="B33" s="5">
        <v>46170</v>
      </c>
      <c r="C33" s="4">
        <v>16950</v>
      </c>
      <c r="D33" s="4" t="s">
        <v>13</v>
      </c>
      <c r="E33" s="4">
        <v>113</v>
      </c>
      <c r="F33" s="4" t="s">
        <v>17</v>
      </c>
      <c r="G33" s="6">
        <v>0.17</v>
      </c>
      <c r="H33" s="6">
        <v>0.17</v>
      </c>
      <c r="I33" s="6">
        <v>2410</v>
      </c>
      <c r="J33" s="4" t="s">
        <v>15</v>
      </c>
      <c r="K33" s="10" t="s">
        <v>385</v>
      </c>
      <c r="L33" s="4" t="s">
        <v>36</v>
      </c>
    </row>
    <row r="34" spans="1:12" x14ac:dyDescent="0.2">
      <c r="A34" s="4" t="s">
        <v>12</v>
      </c>
      <c r="B34" s="5">
        <v>46170</v>
      </c>
      <c r="C34" s="4">
        <v>3000</v>
      </c>
      <c r="D34" s="4" t="s">
        <v>13</v>
      </c>
      <c r="E34" s="4">
        <v>50</v>
      </c>
      <c r="F34" s="4" t="s">
        <v>17</v>
      </c>
      <c r="G34" s="6">
        <v>5.0000000000000001E-3</v>
      </c>
      <c r="H34" s="6">
        <v>7.0999999999999994E-2</v>
      </c>
      <c r="I34" s="6">
        <v>2775</v>
      </c>
      <c r="J34" s="4" t="s">
        <v>15</v>
      </c>
      <c r="K34" s="10" t="s">
        <v>386</v>
      </c>
      <c r="L34" s="4" t="s">
        <v>37</v>
      </c>
    </row>
    <row r="35" spans="1:12" x14ac:dyDescent="0.2">
      <c r="A35" s="4" t="s">
        <v>12</v>
      </c>
      <c r="B35" s="5">
        <v>46170</v>
      </c>
      <c r="C35" s="4">
        <v>1920</v>
      </c>
      <c r="D35" s="4" t="s">
        <v>13</v>
      </c>
      <c r="E35" s="4">
        <v>32</v>
      </c>
      <c r="F35" s="4" t="s">
        <v>17</v>
      </c>
      <c r="G35" s="6">
        <v>3.0000000000000001E-3</v>
      </c>
      <c r="H35" s="6">
        <v>0.01</v>
      </c>
      <c r="I35" s="6">
        <v>194</v>
      </c>
      <c r="J35" s="4" t="s">
        <v>15</v>
      </c>
      <c r="K35" s="10" t="s">
        <v>387</v>
      </c>
      <c r="L35" s="4" t="s">
        <v>38</v>
      </c>
    </row>
    <row r="36" spans="1:12" x14ac:dyDescent="0.2">
      <c r="A36" s="4" t="s">
        <v>12</v>
      </c>
      <c r="B36" s="5">
        <v>46170</v>
      </c>
      <c r="C36" s="4">
        <v>4000</v>
      </c>
      <c r="D36" s="4" t="s">
        <v>13</v>
      </c>
      <c r="E36" s="4">
        <v>80</v>
      </c>
      <c r="F36" s="4" t="s">
        <v>17</v>
      </c>
      <c r="G36" s="6">
        <v>6.0999999999999999E-2</v>
      </c>
      <c r="H36" s="6">
        <v>0.184</v>
      </c>
      <c r="I36" s="6">
        <v>113</v>
      </c>
      <c r="J36" s="4" t="s">
        <v>15</v>
      </c>
      <c r="K36" s="10" t="s">
        <v>388</v>
      </c>
      <c r="L36" s="4" t="s">
        <v>39</v>
      </c>
    </row>
    <row r="37" spans="1:12" x14ac:dyDescent="0.2">
      <c r="A37" s="4" t="s">
        <v>12</v>
      </c>
      <c r="B37" s="5">
        <v>46170</v>
      </c>
      <c r="C37" s="4">
        <v>16800</v>
      </c>
      <c r="D37" s="4" t="s">
        <v>13</v>
      </c>
      <c r="E37" s="4">
        <v>336</v>
      </c>
      <c r="F37" s="4" t="s">
        <v>17</v>
      </c>
      <c r="G37" s="6">
        <v>0.25700000000000001</v>
      </c>
      <c r="H37" s="6">
        <v>0.77300000000000002</v>
      </c>
      <c r="I37" s="6">
        <v>474</v>
      </c>
      <c r="J37" s="4" t="s">
        <v>15</v>
      </c>
      <c r="K37" s="10" t="s">
        <v>388</v>
      </c>
      <c r="L37" s="4" t="s">
        <v>39</v>
      </c>
    </row>
    <row r="38" spans="1:12" x14ac:dyDescent="0.2">
      <c r="A38" s="4" t="s">
        <v>12</v>
      </c>
      <c r="B38" s="5">
        <v>46170</v>
      </c>
      <c r="C38" s="4">
        <v>9750</v>
      </c>
      <c r="D38" s="4" t="s">
        <v>13</v>
      </c>
      <c r="E38" s="4">
        <v>195</v>
      </c>
      <c r="F38" s="4" t="s">
        <v>17</v>
      </c>
      <c r="G38" s="6">
        <v>0.14899999999999999</v>
      </c>
      <c r="H38" s="6">
        <v>0.44900000000000001</v>
      </c>
      <c r="I38" s="6">
        <v>275</v>
      </c>
      <c r="J38" s="4" t="s">
        <v>15</v>
      </c>
      <c r="K38" s="10" t="s">
        <v>388</v>
      </c>
      <c r="L38" s="4" t="s">
        <v>39</v>
      </c>
    </row>
    <row r="39" spans="1:12" x14ac:dyDescent="0.2">
      <c r="A39" s="4" t="s">
        <v>12</v>
      </c>
      <c r="B39" s="5">
        <v>46170</v>
      </c>
      <c r="C39" s="4">
        <v>5400</v>
      </c>
      <c r="D39" s="4" t="s">
        <v>13</v>
      </c>
      <c r="E39" s="4">
        <v>90</v>
      </c>
      <c r="F39" s="4" t="s">
        <v>17</v>
      </c>
      <c r="G39" s="6">
        <v>8.0000000000000002E-3</v>
      </c>
      <c r="H39" s="6">
        <v>2.4E-2</v>
      </c>
      <c r="I39" s="6">
        <v>4995</v>
      </c>
      <c r="J39" s="4" t="s">
        <v>15</v>
      </c>
      <c r="K39" s="10" t="s">
        <v>389</v>
      </c>
      <c r="L39" s="4" t="s">
        <v>40</v>
      </c>
    </row>
    <row r="40" spans="1:12" x14ac:dyDescent="0.2">
      <c r="A40" s="4" t="s">
        <v>12</v>
      </c>
      <c r="B40" s="5">
        <v>46170</v>
      </c>
      <c r="C40" s="4">
        <v>6720</v>
      </c>
      <c r="D40" s="4" t="s">
        <v>13</v>
      </c>
      <c r="E40" s="4">
        <v>112</v>
      </c>
      <c r="F40" s="4" t="s">
        <v>17</v>
      </c>
      <c r="G40" s="6">
        <v>0.01</v>
      </c>
      <c r="H40" s="6">
        <v>2.9000000000000001E-2</v>
      </c>
      <c r="I40" s="6">
        <v>6216</v>
      </c>
      <c r="J40" s="4" t="s">
        <v>15</v>
      </c>
      <c r="K40" s="10" t="s">
        <v>389</v>
      </c>
      <c r="L40" s="4" t="s">
        <v>40</v>
      </c>
    </row>
    <row r="41" spans="1:12" x14ac:dyDescent="0.2">
      <c r="A41" s="4" t="s">
        <v>12</v>
      </c>
      <c r="B41" s="5">
        <v>46170</v>
      </c>
      <c r="C41" s="4">
        <v>15</v>
      </c>
      <c r="D41" s="4" t="s">
        <v>13</v>
      </c>
      <c r="E41" s="4">
        <v>1</v>
      </c>
      <c r="F41" s="4" t="s">
        <v>17</v>
      </c>
      <c r="G41" s="6">
        <v>1.9E-2</v>
      </c>
      <c r="H41" s="6">
        <v>1.2E-2</v>
      </c>
      <c r="I41" s="6">
        <v>0</v>
      </c>
      <c r="J41" s="4" t="s">
        <v>15</v>
      </c>
      <c r="K41" s="10" t="s">
        <v>41</v>
      </c>
      <c r="L41" s="4" t="s">
        <v>42</v>
      </c>
    </row>
    <row r="42" spans="1:12" x14ac:dyDescent="0.2">
      <c r="A42" s="4" t="s">
        <v>12</v>
      </c>
      <c r="B42" s="5">
        <v>46170</v>
      </c>
      <c r="C42" s="4">
        <v>25</v>
      </c>
      <c r="D42" s="4" t="s">
        <v>13</v>
      </c>
      <c r="E42" s="4">
        <v>1</v>
      </c>
      <c r="F42" s="4" t="s">
        <v>17</v>
      </c>
      <c r="G42" s="6">
        <v>5.0000000000000001E-3</v>
      </c>
      <c r="H42" s="6">
        <v>1.4999999999999999E-2</v>
      </c>
      <c r="I42" s="6">
        <v>0</v>
      </c>
      <c r="J42" s="4" t="s">
        <v>15</v>
      </c>
      <c r="K42" s="10" t="s">
        <v>43</v>
      </c>
      <c r="L42" s="4" t="s">
        <v>44</v>
      </c>
    </row>
    <row r="43" spans="1:12" x14ac:dyDescent="0.2">
      <c r="A43" s="4" t="s">
        <v>12</v>
      </c>
      <c r="B43" s="5">
        <v>46170</v>
      </c>
      <c r="C43" s="4">
        <v>285</v>
      </c>
      <c r="D43" s="4" t="s">
        <v>13</v>
      </c>
      <c r="E43" s="4">
        <v>1</v>
      </c>
      <c r="F43" s="4" t="s">
        <v>17</v>
      </c>
      <c r="G43" s="6">
        <v>4.7E-2</v>
      </c>
      <c r="H43" s="6">
        <v>0.20300000000000001</v>
      </c>
      <c r="I43" s="6">
        <v>0</v>
      </c>
      <c r="J43" s="4" t="s">
        <v>15</v>
      </c>
      <c r="K43" s="10" t="s">
        <v>45</v>
      </c>
      <c r="L43" s="4" t="s">
        <v>46</v>
      </c>
    </row>
    <row r="44" spans="1:12" x14ac:dyDescent="0.2">
      <c r="A44" s="4" t="s">
        <v>12</v>
      </c>
      <c r="B44" s="5">
        <v>46170</v>
      </c>
      <c r="C44" s="4">
        <v>204</v>
      </c>
      <c r="D44" s="4" t="s">
        <v>13</v>
      </c>
      <c r="E44" s="4">
        <v>204</v>
      </c>
      <c r="F44" s="4" t="s">
        <v>17</v>
      </c>
      <c r="G44" s="6">
        <v>9.8000000000000004E-2</v>
      </c>
      <c r="H44" s="6">
        <v>0.34300000000000003</v>
      </c>
      <c r="I44" s="6">
        <v>0</v>
      </c>
      <c r="J44" s="4" t="s">
        <v>15</v>
      </c>
      <c r="K44" s="10" t="s">
        <v>47</v>
      </c>
      <c r="L44" s="4" t="s">
        <v>48</v>
      </c>
    </row>
    <row r="45" spans="1:12" x14ac:dyDescent="0.2">
      <c r="A45" s="4" t="s">
        <v>12</v>
      </c>
      <c r="B45" s="5">
        <v>46170</v>
      </c>
      <c r="C45" s="4">
        <v>28</v>
      </c>
      <c r="D45" s="4" t="s">
        <v>13</v>
      </c>
      <c r="E45" s="4">
        <v>28</v>
      </c>
      <c r="F45" s="4" t="s">
        <v>14</v>
      </c>
      <c r="G45" s="6">
        <v>1E-3</v>
      </c>
      <c r="H45" s="6">
        <v>2E-3</v>
      </c>
      <c r="I45" s="6">
        <v>0</v>
      </c>
      <c r="J45" s="4" t="s">
        <v>15</v>
      </c>
      <c r="K45" s="10" t="s">
        <v>49</v>
      </c>
      <c r="L45" s="4" t="s">
        <v>50</v>
      </c>
    </row>
    <row r="46" spans="1:12" x14ac:dyDescent="0.2">
      <c r="A46" s="4" t="s">
        <v>12</v>
      </c>
      <c r="B46" s="5">
        <v>46170</v>
      </c>
      <c r="C46" s="4">
        <v>840</v>
      </c>
      <c r="D46" s="4" t="s">
        <v>13</v>
      </c>
      <c r="E46" s="4">
        <v>840</v>
      </c>
      <c r="F46" s="4" t="s">
        <v>14</v>
      </c>
      <c r="G46" s="6">
        <v>1.7000000000000001E-2</v>
      </c>
      <c r="H46" s="6">
        <v>0.27500000000000002</v>
      </c>
      <c r="I46" s="6">
        <v>0</v>
      </c>
      <c r="J46" s="4" t="s">
        <v>15</v>
      </c>
      <c r="K46" s="10" t="s">
        <v>51</v>
      </c>
      <c r="L46" s="4" t="s">
        <v>52</v>
      </c>
    </row>
    <row r="47" spans="1:12" x14ac:dyDescent="0.2">
      <c r="A47" s="4" t="s">
        <v>12</v>
      </c>
      <c r="B47" s="5">
        <v>46170</v>
      </c>
      <c r="C47" s="4">
        <v>14</v>
      </c>
      <c r="D47" s="4" t="s">
        <v>13</v>
      </c>
      <c r="E47" s="4">
        <v>14</v>
      </c>
      <c r="F47" s="4" t="s">
        <v>14</v>
      </c>
      <c r="G47" s="6">
        <v>1E-3</v>
      </c>
      <c r="H47" s="6">
        <v>4.0000000000000001E-3</v>
      </c>
      <c r="I47" s="6">
        <v>24</v>
      </c>
      <c r="J47" s="4" t="s">
        <v>15</v>
      </c>
      <c r="K47" s="10" t="s">
        <v>53</v>
      </c>
      <c r="L47" s="4" t="s">
        <v>54</v>
      </c>
    </row>
    <row r="48" spans="1:12" x14ac:dyDescent="0.2">
      <c r="A48" s="4" t="s">
        <v>12</v>
      </c>
      <c r="B48" s="5">
        <v>46170</v>
      </c>
      <c r="C48" s="4">
        <v>3600</v>
      </c>
      <c r="D48" s="4" t="s">
        <v>13</v>
      </c>
      <c r="E48" s="4">
        <v>120</v>
      </c>
      <c r="F48" s="4" t="s">
        <v>17</v>
      </c>
      <c r="G48" s="6">
        <v>0.16200000000000001</v>
      </c>
      <c r="H48" s="6">
        <v>1.63</v>
      </c>
      <c r="I48" s="6">
        <v>0</v>
      </c>
      <c r="J48" s="4" t="s">
        <v>15</v>
      </c>
      <c r="K48" s="10" t="s">
        <v>55</v>
      </c>
      <c r="L48" s="4" t="s">
        <v>56</v>
      </c>
    </row>
    <row r="49" spans="1:12" x14ac:dyDescent="0.2">
      <c r="A49" s="4" t="s">
        <v>12</v>
      </c>
      <c r="B49" s="5">
        <v>46170</v>
      </c>
      <c r="C49" s="4">
        <v>960</v>
      </c>
      <c r="D49" s="4" t="s">
        <v>13</v>
      </c>
      <c r="E49" s="4">
        <v>32</v>
      </c>
      <c r="F49" s="4" t="s">
        <v>17</v>
      </c>
      <c r="G49" s="6">
        <v>6.6000000000000003E-2</v>
      </c>
      <c r="H49" s="6">
        <v>0.66400000000000003</v>
      </c>
      <c r="I49" s="6">
        <v>0</v>
      </c>
      <c r="J49" s="4" t="s">
        <v>15</v>
      </c>
      <c r="K49" s="10" t="s">
        <v>20</v>
      </c>
      <c r="L49" s="4" t="s">
        <v>56</v>
      </c>
    </row>
    <row r="50" spans="1:12" x14ac:dyDescent="0.2">
      <c r="A50" s="4" t="s">
        <v>12</v>
      </c>
      <c r="B50" s="5">
        <v>46170</v>
      </c>
      <c r="C50" s="4">
        <v>43</v>
      </c>
      <c r="D50" s="4" t="s">
        <v>13</v>
      </c>
      <c r="E50" s="4">
        <v>43</v>
      </c>
      <c r="F50" s="4" t="s">
        <v>14</v>
      </c>
      <c r="G50" s="6">
        <v>5.0000000000000001E-3</v>
      </c>
      <c r="H50" s="6">
        <v>5.7000000000000002E-2</v>
      </c>
      <c r="I50" s="6">
        <v>0</v>
      </c>
      <c r="J50" s="4" t="s">
        <v>15</v>
      </c>
      <c r="K50" s="10" t="s">
        <v>57</v>
      </c>
      <c r="L50" s="4" t="s">
        <v>58</v>
      </c>
    </row>
    <row r="51" spans="1:12" x14ac:dyDescent="0.2">
      <c r="A51" s="4" t="s">
        <v>12</v>
      </c>
      <c r="B51" s="5">
        <v>46170</v>
      </c>
      <c r="C51" s="4">
        <v>1218</v>
      </c>
      <c r="D51" s="4" t="s">
        <v>13</v>
      </c>
      <c r="E51" s="4">
        <v>48</v>
      </c>
      <c r="F51" s="4" t="s">
        <v>17</v>
      </c>
      <c r="G51" s="6">
        <v>2.3279999999999998</v>
      </c>
      <c r="H51" s="6">
        <v>13.444000000000001</v>
      </c>
      <c r="I51" s="6">
        <v>186</v>
      </c>
      <c r="J51" s="4" t="s">
        <v>15</v>
      </c>
      <c r="K51" s="10" t="s">
        <v>59</v>
      </c>
      <c r="L51" s="4" t="s">
        <v>60</v>
      </c>
    </row>
    <row r="52" spans="1:12" x14ac:dyDescent="0.2">
      <c r="A52" s="4" t="s">
        <v>12</v>
      </c>
      <c r="B52" s="5">
        <v>46170</v>
      </c>
      <c r="C52" s="4">
        <v>1044</v>
      </c>
      <c r="D52" s="4" t="s">
        <v>13</v>
      </c>
      <c r="E52" s="4">
        <v>0</v>
      </c>
      <c r="F52" s="4" t="s">
        <v>17</v>
      </c>
      <c r="G52" s="6">
        <v>8.0909999999999993</v>
      </c>
      <c r="H52" s="6">
        <v>46.719000000000001</v>
      </c>
      <c r="I52" s="6">
        <v>647</v>
      </c>
      <c r="J52" s="4" t="s">
        <v>15</v>
      </c>
      <c r="K52" s="10" t="s">
        <v>59</v>
      </c>
      <c r="L52" s="4" t="s">
        <v>60</v>
      </c>
    </row>
    <row r="53" spans="1:12" x14ac:dyDescent="0.2">
      <c r="A53" s="4" t="s">
        <v>12</v>
      </c>
      <c r="B53" s="5">
        <v>46170</v>
      </c>
      <c r="C53" s="4">
        <v>94</v>
      </c>
      <c r="D53" s="4" t="s">
        <v>13</v>
      </c>
      <c r="E53" s="4">
        <v>94</v>
      </c>
      <c r="F53" s="4" t="s">
        <v>14</v>
      </c>
      <c r="G53" s="6">
        <v>0.72899999999999998</v>
      </c>
      <c r="H53" s="6">
        <v>4.2069999999999999</v>
      </c>
      <c r="I53" s="6">
        <v>484</v>
      </c>
      <c r="J53" s="4" t="s">
        <v>15</v>
      </c>
      <c r="K53" s="10" t="s">
        <v>59</v>
      </c>
      <c r="L53" s="4" t="s">
        <v>60</v>
      </c>
    </row>
    <row r="54" spans="1:12" x14ac:dyDescent="0.2">
      <c r="A54" s="4" t="s">
        <v>12</v>
      </c>
      <c r="B54" s="5">
        <v>46170</v>
      </c>
      <c r="C54" s="4">
        <v>300</v>
      </c>
      <c r="D54" s="4" t="s">
        <v>13</v>
      </c>
      <c r="E54" s="4">
        <v>3</v>
      </c>
      <c r="F54" s="4" t="s">
        <v>17</v>
      </c>
      <c r="G54" s="6">
        <v>3.0000000000000001E-3</v>
      </c>
      <c r="H54" s="6">
        <v>2.1000000000000001E-2</v>
      </c>
      <c r="I54" s="6">
        <v>122</v>
      </c>
      <c r="J54" s="4" t="s">
        <v>15</v>
      </c>
      <c r="K54" s="10" t="s">
        <v>370</v>
      </c>
      <c r="L54" s="4" t="s">
        <v>61</v>
      </c>
    </row>
    <row r="55" spans="1:12" x14ac:dyDescent="0.2">
      <c r="A55" s="4" t="s">
        <v>12</v>
      </c>
      <c r="B55" s="5">
        <v>46170</v>
      </c>
      <c r="C55" s="4">
        <v>549</v>
      </c>
      <c r="D55" s="4" t="s">
        <v>13</v>
      </c>
      <c r="E55" s="4">
        <v>549</v>
      </c>
      <c r="F55" s="4" t="s">
        <v>14</v>
      </c>
      <c r="G55" s="6">
        <v>8.0000000000000002E-3</v>
      </c>
      <c r="H55" s="6">
        <v>4.9000000000000002E-2</v>
      </c>
      <c r="I55" s="6">
        <v>0</v>
      </c>
      <c r="J55" s="4" t="s">
        <v>15</v>
      </c>
      <c r="K55" s="10" t="s">
        <v>62</v>
      </c>
      <c r="L55" s="4" t="s">
        <v>63</v>
      </c>
    </row>
    <row r="56" spans="1:12" x14ac:dyDescent="0.2">
      <c r="A56" s="4" t="s">
        <v>12</v>
      </c>
      <c r="B56" s="5">
        <v>46170</v>
      </c>
      <c r="C56" s="4">
        <v>2</v>
      </c>
      <c r="D56" s="4" t="s">
        <v>13</v>
      </c>
      <c r="E56" s="4">
        <v>2</v>
      </c>
      <c r="F56" s="4" t="s">
        <v>14</v>
      </c>
      <c r="G56" s="6">
        <v>4.0000000000000001E-3</v>
      </c>
      <c r="H56" s="6">
        <v>1E-3</v>
      </c>
      <c r="I56" s="6">
        <v>0</v>
      </c>
      <c r="J56" s="4" t="s">
        <v>15</v>
      </c>
      <c r="K56" s="10" t="s">
        <v>64</v>
      </c>
      <c r="L56" s="4" t="s">
        <v>65</v>
      </c>
    </row>
    <row r="57" spans="1:12" x14ac:dyDescent="0.2">
      <c r="A57" s="4" t="s">
        <v>12</v>
      </c>
      <c r="B57" s="5">
        <v>46170</v>
      </c>
      <c r="C57" s="4">
        <v>23</v>
      </c>
      <c r="D57" s="4" t="s">
        <v>13</v>
      </c>
      <c r="E57" s="4">
        <v>23</v>
      </c>
      <c r="F57" s="4" t="s">
        <v>14</v>
      </c>
      <c r="G57" s="6">
        <v>0</v>
      </c>
      <c r="H57" s="6">
        <v>1.7000000000000001E-2</v>
      </c>
      <c r="I57" s="6">
        <v>0</v>
      </c>
      <c r="J57" s="4" t="s">
        <v>15</v>
      </c>
      <c r="K57" s="10" t="s">
        <v>66</v>
      </c>
      <c r="L57" s="4" t="s">
        <v>67</v>
      </c>
    </row>
    <row r="58" spans="1:12" x14ac:dyDescent="0.2">
      <c r="A58" s="4" t="s">
        <v>12</v>
      </c>
      <c r="B58" s="5">
        <v>46170</v>
      </c>
      <c r="C58" s="4">
        <v>38</v>
      </c>
      <c r="D58" s="4" t="s">
        <v>13</v>
      </c>
      <c r="E58" s="4">
        <v>38</v>
      </c>
      <c r="F58" s="4" t="s">
        <v>14</v>
      </c>
      <c r="G58" s="6">
        <v>5.0000000000000001E-3</v>
      </c>
      <c r="H58" s="6">
        <v>1.2999999999999999E-2</v>
      </c>
      <c r="I58" s="6">
        <v>0</v>
      </c>
      <c r="J58" s="4" t="s">
        <v>15</v>
      </c>
      <c r="K58" s="10" t="s">
        <v>68</v>
      </c>
      <c r="L58" s="4" t="s">
        <v>69</v>
      </c>
    </row>
    <row r="59" spans="1:12" x14ac:dyDescent="0.2">
      <c r="A59" s="4" t="s">
        <v>12</v>
      </c>
      <c r="B59" s="5">
        <v>46170</v>
      </c>
      <c r="C59" s="4">
        <v>1</v>
      </c>
      <c r="D59" s="4" t="s">
        <v>13</v>
      </c>
      <c r="E59" s="4">
        <v>1</v>
      </c>
      <c r="F59" s="4" t="s">
        <v>14</v>
      </c>
      <c r="G59" s="6">
        <v>4.0000000000000001E-3</v>
      </c>
      <c r="H59" s="6">
        <v>2.5999999999999999E-2</v>
      </c>
      <c r="I59" s="6">
        <v>0</v>
      </c>
      <c r="J59" s="4" t="s">
        <v>15</v>
      </c>
      <c r="K59" s="10" t="s">
        <v>70</v>
      </c>
      <c r="L59" s="4" t="s">
        <v>71</v>
      </c>
    </row>
    <row r="60" spans="1:12" x14ac:dyDescent="0.2">
      <c r="A60" s="4" t="s">
        <v>12</v>
      </c>
      <c r="B60" s="5">
        <v>46170</v>
      </c>
      <c r="C60" s="4">
        <v>1000</v>
      </c>
      <c r="D60" s="4" t="s">
        <v>13</v>
      </c>
      <c r="E60" s="4">
        <v>1</v>
      </c>
      <c r="F60" s="4" t="s">
        <v>72</v>
      </c>
      <c r="G60" s="6">
        <v>1E-3</v>
      </c>
      <c r="H60" s="6">
        <v>2E-3</v>
      </c>
      <c r="I60" s="6">
        <v>0</v>
      </c>
      <c r="J60" s="4" t="s">
        <v>15</v>
      </c>
      <c r="K60" s="10" t="s">
        <v>73</v>
      </c>
      <c r="L60" s="4" t="s">
        <v>74</v>
      </c>
    </row>
    <row r="61" spans="1:12" x14ac:dyDescent="0.2">
      <c r="A61" s="4" t="s">
        <v>12</v>
      </c>
      <c r="B61" s="5">
        <v>46170</v>
      </c>
      <c r="C61" s="4">
        <v>1000</v>
      </c>
      <c r="D61" s="4" t="s">
        <v>13</v>
      </c>
      <c r="E61" s="4">
        <v>1</v>
      </c>
      <c r="F61" s="4" t="s">
        <v>72</v>
      </c>
      <c r="G61" s="6">
        <v>1E-3</v>
      </c>
      <c r="H61" s="6">
        <v>7.0000000000000001E-3</v>
      </c>
      <c r="I61" s="6">
        <v>0</v>
      </c>
      <c r="J61" s="4" t="s">
        <v>15</v>
      </c>
      <c r="K61" s="10" t="s">
        <v>75</v>
      </c>
      <c r="L61" s="4" t="s">
        <v>76</v>
      </c>
    </row>
    <row r="62" spans="1:12" x14ac:dyDescent="0.2">
      <c r="A62" s="4" t="s">
        <v>12</v>
      </c>
      <c r="B62" s="5">
        <v>46170</v>
      </c>
      <c r="C62" s="4">
        <v>11</v>
      </c>
      <c r="D62" s="4" t="s">
        <v>13</v>
      </c>
      <c r="E62" s="4">
        <v>11</v>
      </c>
      <c r="F62" s="4" t="s">
        <v>14</v>
      </c>
      <c r="G62" s="6">
        <v>2E-3</v>
      </c>
      <c r="H62" s="6">
        <v>2.8000000000000001E-2</v>
      </c>
      <c r="I62" s="6">
        <v>0</v>
      </c>
      <c r="J62" s="4" t="s">
        <v>15</v>
      </c>
      <c r="K62" s="10" t="s">
        <v>77</v>
      </c>
      <c r="L62" s="4" t="s">
        <v>78</v>
      </c>
    </row>
    <row r="63" spans="1:12" x14ac:dyDescent="0.2">
      <c r="A63" s="4" t="s">
        <v>12</v>
      </c>
      <c r="B63" s="5">
        <v>46170</v>
      </c>
      <c r="C63" s="4">
        <v>13500</v>
      </c>
      <c r="D63" s="4" t="s">
        <v>13</v>
      </c>
      <c r="E63" s="4">
        <v>135</v>
      </c>
      <c r="F63" s="4" t="s">
        <v>17</v>
      </c>
      <c r="G63" s="6">
        <v>0.10299999999999999</v>
      </c>
      <c r="H63" s="6">
        <v>0.311</v>
      </c>
      <c r="I63" s="6">
        <v>348</v>
      </c>
      <c r="J63" s="4" t="s">
        <v>15</v>
      </c>
      <c r="K63" s="10" t="s">
        <v>390</v>
      </c>
      <c r="L63" s="4" t="s">
        <v>79</v>
      </c>
    </row>
    <row r="64" spans="1:12" x14ac:dyDescent="0.2">
      <c r="A64" s="4" t="s">
        <v>12</v>
      </c>
      <c r="B64" s="5">
        <v>46170</v>
      </c>
      <c r="C64" s="4">
        <v>14</v>
      </c>
      <c r="D64" s="4" t="s">
        <v>13</v>
      </c>
      <c r="E64" s="4">
        <v>14</v>
      </c>
      <c r="F64" s="4" t="s">
        <v>17</v>
      </c>
      <c r="G64" s="6">
        <v>3.5000000000000003E-2</v>
      </c>
      <c r="H64" s="6">
        <v>3.5000000000000003E-2</v>
      </c>
      <c r="I64" s="6">
        <v>0</v>
      </c>
      <c r="J64" s="4" t="s">
        <v>15</v>
      </c>
      <c r="K64" s="10" t="s">
        <v>20</v>
      </c>
      <c r="L64" s="4" t="s">
        <v>80</v>
      </c>
    </row>
    <row r="65" spans="1:12" x14ac:dyDescent="0.2">
      <c r="A65" s="4" t="s">
        <v>12</v>
      </c>
      <c r="B65" s="5">
        <v>46170</v>
      </c>
      <c r="C65" s="4">
        <v>14</v>
      </c>
      <c r="D65" s="4" t="s">
        <v>13</v>
      </c>
      <c r="E65" s="4">
        <v>14</v>
      </c>
      <c r="F65" s="4" t="s">
        <v>17</v>
      </c>
      <c r="G65" s="6">
        <v>2E-3</v>
      </c>
      <c r="H65" s="6">
        <v>5.0000000000000001E-3</v>
      </c>
      <c r="I65" s="6">
        <v>0</v>
      </c>
      <c r="J65" s="4" t="s">
        <v>15</v>
      </c>
      <c r="K65" s="10" t="s">
        <v>81</v>
      </c>
      <c r="L65" s="4" t="s">
        <v>82</v>
      </c>
    </row>
    <row r="66" spans="1:12" x14ac:dyDescent="0.2">
      <c r="A66" s="4" t="s">
        <v>12</v>
      </c>
      <c r="B66" s="5">
        <v>46170</v>
      </c>
      <c r="C66" s="4">
        <v>14</v>
      </c>
      <c r="D66" s="4" t="s">
        <v>13</v>
      </c>
      <c r="E66" s="4">
        <v>14</v>
      </c>
      <c r="F66" s="4" t="s">
        <v>14</v>
      </c>
      <c r="G66" s="6">
        <v>3.5000000000000003E-2</v>
      </c>
      <c r="H66" s="6">
        <v>3.5000000000000003E-2</v>
      </c>
      <c r="I66" s="6">
        <v>0</v>
      </c>
      <c r="J66" s="4" t="s">
        <v>15</v>
      </c>
      <c r="K66" s="10" t="s">
        <v>20</v>
      </c>
      <c r="L66" s="4" t="s">
        <v>83</v>
      </c>
    </row>
    <row r="67" spans="1:12" x14ac:dyDescent="0.2">
      <c r="A67" s="4" t="s">
        <v>12</v>
      </c>
      <c r="B67" s="5">
        <v>46170</v>
      </c>
      <c r="C67" s="4">
        <v>1</v>
      </c>
      <c r="D67" s="4" t="s">
        <v>13</v>
      </c>
      <c r="E67" s="4">
        <v>1</v>
      </c>
      <c r="F67" s="4" t="s">
        <v>14</v>
      </c>
      <c r="G67" s="6">
        <v>1.4999999999999999E-2</v>
      </c>
      <c r="H67" s="6">
        <v>2E-3</v>
      </c>
      <c r="I67" s="6">
        <v>0</v>
      </c>
      <c r="J67" s="4" t="s">
        <v>15</v>
      </c>
      <c r="K67" s="10" t="s">
        <v>20</v>
      </c>
      <c r="L67" s="4" t="s">
        <v>84</v>
      </c>
    </row>
    <row r="68" spans="1:12" x14ac:dyDescent="0.2">
      <c r="A68" s="4" t="s">
        <v>12</v>
      </c>
      <c r="B68" s="5">
        <v>46170</v>
      </c>
      <c r="C68" s="4">
        <v>244</v>
      </c>
      <c r="D68" s="4" t="s">
        <v>13</v>
      </c>
      <c r="E68" s="4">
        <v>244</v>
      </c>
      <c r="F68" s="4" t="s">
        <v>14</v>
      </c>
      <c r="G68" s="6">
        <v>1E-3</v>
      </c>
      <c r="H68" s="6">
        <v>4.0000000000000001E-3</v>
      </c>
      <c r="I68" s="6">
        <v>0</v>
      </c>
      <c r="J68" s="4" t="s">
        <v>15</v>
      </c>
      <c r="K68" s="10" t="s">
        <v>85</v>
      </c>
      <c r="L68" s="4" t="s">
        <v>86</v>
      </c>
    </row>
    <row r="69" spans="1:12" x14ac:dyDescent="0.2">
      <c r="A69" s="4" t="s">
        <v>12</v>
      </c>
      <c r="B69" s="5">
        <v>46170</v>
      </c>
      <c r="C69" s="4">
        <v>1</v>
      </c>
      <c r="D69" s="4" t="s">
        <v>13</v>
      </c>
      <c r="E69" s="4">
        <v>1</v>
      </c>
      <c r="F69" s="4" t="s">
        <v>14</v>
      </c>
      <c r="G69" s="6">
        <v>1E-3</v>
      </c>
      <c r="H69" s="6">
        <v>5.0000000000000001E-3</v>
      </c>
      <c r="I69" s="6">
        <v>0</v>
      </c>
      <c r="J69" s="4" t="s">
        <v>15</v>
      </c>
      <c r="K69" s="10" t="s">
        <v>87</v>
      </c>
      <c r="L69" s="4" t="s">
        <v>88</v>
      </c>
    </row>
    <row r="70" spans="1:12" x14ac:dyDescent="0.2">
      <c r="A70" s="4" t="s">
        <v>12</v>
      </c>
      <c r="B70" s="5">
        <v>46170</v>
      </c>
      <c r="C70" s="4">
        <v>1</v>
      </c>
      <c r="D70" s="4" t="s">
        <v>13</v>
      </c>
      <c r="E70" s="4">
        <v>1</v>
      </c>
      <c r="F70" s="4" t="s">
        <v>14</v>
      </c>
      <c r="G70" s="6">
        <v>0</v>
      </c>
      <c r="H70" s="6">
        <v>1E-3</v>
      </c>
      <c r="I70" s="6">
        <v>0</v>
      </c>
      <c r="J70" s="4" t="s">
        <v>15</v>
      </c>
      <c r="K70" s="10" t="s">
        <v>89</v>
      </c>
      <c r="L70" s="4" t="s">
        <v>90</v>
      </c>
    </row>
    <row r="71" spans="1:12" x14ac:dyDescent="0.2">
      <c r="A71" s="4" t="s">
        <v>12</v>
      </c>
      <c r="B71" s="5">
        <v>46170</v>
      </c>
      <c r="C71" s="4">
        <v>1</v>
      </c>
      <c r="D71" s="4" t="s">
        <v>13</v>
      </c>
      <c r="E71" s="4">
        <v>1</v>
      </c>
      <c r="F71" s="4" t="s">
        <v>14</v>
      </c>
      <c r="G71" s="6">
        <v>0</v>
      </c>
      <c r="H71" s="6">
        <v>1E-3</v>
      </c>
      <c r="I71" s="6">
        <v>0</v>
      </c>
      <c r="J71" s="4" t="s">
        <v>15</v>
      </c>
      <c r="K71" s="10" t="s">
        <v>91</v>
      </c>
      <c r="L71" s="4" t="s">
        <v>92</v>
      </c>
    </row>
    <row r="72" spans="1:12" x14ac:dyDescent="0.2">
      <c r="A72" s="4" t="s">
        <v>12</v>
      </c>
      <c r="B72" s="5">
        <v>46170</v>
      </c>
      <c r="C72" s="4">
        <v>290</v>
      </c>
      <c r="D72" s="4" t="s">
        <v>13</v>
      </c>
      <c r="E72" s="4">
        <v>290</v>
      </c>
      <c r="F72" s="4" t="s">
        <v>17</v>
      </c>
      <c r="G72" s="6">
        <v>0.115</v>
      </c>
      <c r="H72" s="6">
        <v>0.10100000000000001</v>
      </c>
      <c r="I72" s="6">
        <v>0</v>
      </c>
      <c r="J72" s="4" t="s">
        <v>15</v>
      </c>
      <c r="K72" s="10" t="s">
        <v>93</v>
      </c>
      <c r="L72" s="4" t="s">
        <v>94</v>
      </c>
    </row>
    <row r="73" spans="1:12" x14ac:dyDescent="0.2">
      <c r="A73" s="4" t="s">
        <v>12</v>
      </c>
      <c r="B73" s="5">
        <v>46170</v>
      </c>
      <c r="C73" s="4">
        <v>800</v>
      </c>
      <c r="D73" s="4" t="s">
        <v>13</v>
      </c>
      <c r="E73" s="4">
        <v>800</v>
      </c>
      <c r="F73" s="4" t="s">
        <v>14</v>
      </c>
      <c r="G73" s="6">
        <v>1.7999999999999999E-2</v>
      </c>
      <c r="H73" s="6">
        <v>3.0000000000000001E-3</v>
      </c>
      <c r="I73" s="6">
        <v>0</v>
      </c>
      <c r="J73" s="4" t="s">
        <v>15</v>
      </c>
      <c r="K73" s="10" t="s">
        <v>20</v>
      </c>
      <c r="L73" s="4" t="s">
        <v>95</v>
      </c>
    </row>
    <row r="74" spans="1:12" x14ac:dyDescent="0.2">
      <c r="A74" s="4" t="s">
        <v>12</v>
      </c>
      <c r="B74" s="5">
        <v>46170</v>
      </c>
      <c r="C74" s="4">
        <v>1</v>
      </c>
      <c r="D74" s="4" t="s">
        <v>13</v>
      </c>
      <c r="E74" s="4">
        <v>1</v>
      </c>
      <c r="F74" s="4" t="s">
        <v>14</v>
      </c>
      <c r="G74" s="6">
        <v>4.4999999999999998E-2</v>
      </c>
      <c r="H74" s="6">
        <v>5.0000000000000001E-3</v>
      </c>
      <c r="I74" s="6">
        <v>0</v>
      </c>
      <c r="J74" s="4" t="s">
        <v>15</v>
      </c>
      <c r="K74" s="10" t="s">
        <v>20</v>
      </c>
      <c r="L74" s="4" t="s">
        <v>96</v>
      </c>
    </row>
    <row r="75" spans="1:12" x14ac:dyDescent="0.2">
      <c r="A75" s="4" t="s">
        <v>12</v>
      </c>
      <c r="B75" s="5">
        <v>46170</v>
      </c>
      <c r="C75" s="4">
        <v>60600</v>
      </c>
      <c r="D75" s="4" t="s">
        <v>13</v>
      </c>
      <c r="E75" s="4">
        <v>50</v>
      </c>
      <c r="F75" s="4" t="s">
        <v>17</v>
      </c>
      <c r="G75" s="6">
        <v>0.63100000000000001</v>
      </c>
      <c r="H75" s="6">
        <v>4.5940000000000003</v>
      </c>
      <c r="I75" s="6">
        <v>2697</v>
      </c>
      <c r="J75" s="4" t="s">
        <v>15</v>
      </c>
      <c r="K75" s="10" t="s">
        <v>391</v>
      </c>
      <c r="L75" s="4" t="s">
        <v>97</v>
      </c>
    </row>
    <row r="76" spans="1:12" x14ac:dyDescent="0.2">
      <c r="A76" s="4" t="s">
        <v>12</v>
      </c>
      <c r="B76" s="5">
        <v>46170</v>
      </c>
      <c r="C76" s="4">
        <v>519</v>
      </c>
      <c r="D76" s="4" t="s">
        <v>13</v>
      </c>
      <c r="E76" s="4">
        <v>20</v>
      </c>
      <c r="F76" s="4" t="s">
        <v>17</v>
      </c>
      <c r="G76" s="6">
        <v>0.16800000000000001</v>
      </c>
      <c r="H76" s="6">
        <v>0.40899999999999997</v>
      </c>
      <c r="I76" s="6">
        <v>285</v>
      </c>
      <c r="J76" s="4" t="s">
        <v>15</v>
      </c>
      <c r="K76" s="10" t="s">
        <v>392</v>
      </c>
      <c r="L76" s="4" t="s">
        <v>60</v>
      </c>
    </row>
    <row r="77" spans="1:12" x14ac:dyDescent="0.2">
      <c r="A77" s="4" t="s">
        <v>12</v>
      </c>
      <c r="B77" s="5">
        <v>46170</v>
      </c>
      <c r="C77" s="4">
        <v>14480</v>
      </c>
      <c r="D77" s="4" t="s">
        <v>13</v>
      </c>
      <c r="E77" s="4">
        <v>144</v>
      </c>
      <c r="F77" s="4" t="s">
        <v>17</v>
      </c>
      <c r="G77" s="6">
        <v>0.111</v>
      </c>
      <c r="H77" s="6">
        <v>1.0549999999999999</v>
      </c>
      <c r="I77" s="6">
        <v>1332</v>
      </c>
      <c r="J77" s="4" t="s">
        <v>15</v>
      </c>
      <c r="K77" s="10" t="s">
        <v>393</v>
      </c>
      <c r="L77" s="4" t="s">
        <v>79</v>
      </c>
    </row>
    <row r="78" spans="1:12" x14ac:dyDescent="0.2">
      <c r="A78" s="4" t="s">
        <v>12</v>
      </c>
      <c r="B78" s="5">
        <v>46170</v>
      </c>
      <c r="C78" s="4">
        <v>20</v>
      </c>
      <c r="D78" s="4" t="s">
        <v>13</v>
      </c>
      <c r="E78" s="4">
        <v>1</v>
      </c>
      <c r="F78" s="4" t="s">
        <v>98</v>
      </c>
      <c r="G78" s="6">
        <v>0</v>
      </c>
      <c r="H78" s="6">
        <v>4.0000000000000001E-3</v>
      </c>
      <c r="I78" s="6">
        <v>32</v>
      </c>
      <c r="J78" s="4" t="s">
        <v>15</v>
      </c>
      <c r="K78" s="10" t="s">
        <v>394</v>
      </c>
      <c r="L78" s="4" t="s">
        <v>99</v>
      </c>
    </row>
    <row r="79" spans="1:12" x14ac:dyDescent="0.2">
      <c r="A79" s="4" t="s">
        <v>12</v>
      </c>
      <c r="B79" s="5">
        <v>46170</v>
      </c>
      <c r="C79" s="4">
        <v>50100</v>
      </c>
      <c r="D79" s="4" t="s">
        <v>13</v>
      </c>
      <c r="E79" s="4">
        <v>1670</v>
      </c>
      <c r="F79" s="4" t="s">
        <v>17</v>
      </c>
      <c r="G79" s="6">
        <v>0.13600000000000001</v>
      </c>
      <c r="H79" s="6">
        <v>0.96499999999999997</v>
      </c>
      <c r="I79" s="6">
        <v>5261</v>
      </c>
      <c r="J79" s="4" t="s">
        <v>15</v>
      </c>
      <c r="K79" s="10" t="s">
        <v>395</v>
      </c>
      <c r="L79" s="4" t="s">
        <v>100</v>
      </c>
    </row>
    <row r="80" spans="1:12" x14ac:dyDescent="0.2">
      <c r="A80" s="4" t="s">
        <v>12</v>
      </c>
      <c r="B80" s="5">
        <v>46170</v>
      </c>
      <c r="C80" s="4">
        <v>118800</v>
      </c>
      <c r="D80" s="4" t="s">
        <v>13</v>
      </c>
      <c r="E80" s="4">
        <v>3960</v>
      </c>
      <c r="F80" s="4" t="s">
        <v>72</v>
      </c>
      <c r="G80" s="6">
        <v>0.32100000000000001</v>
      </c>
      <c r="H80" s="6">
        <v>2.2890000000000001</v>
      </c>
      <c r="I80" s="6">
        <v>12474</v>
      </c>
      <c r="J80" s="4" t="s">
        <v>15</v>
      </c>
      <c r="K80" s="10" t="s">
        <v>395</v>
      </c>
      <c r="L80" s="4" t="s">
        <v>100</v>
      </c>
    </row>
    <row r="81" spans="1:12" x14ac:dyDescent="0.2">
      <c r="A81" s="4" t="s">
        <v>12</v>
      </c>
      <c r="B81" s="5">
        <v>46170</v>
      </c>
      <c r="C81" s="4">
        <v>80</v>
      </c>
      <c r="D81" s="4" t="s">
        <v>13</v>
      </c>
      <c r="E81" s="4">
        <v>4</v>
      </c>
      <c r="F81" s="4" t="s">
        <v>98</v>
      </c>
      <c r="G81" s="6">
        <v>1E-3</v>
      </c>
      <c r="H81" s="6">
        <v>1.6E-2</v>
      </c>
      <c r="I81" s="6">
        <v>128</v>
      </c>
      <c r="J81" s="4" t="s">
        <v>15</v>
      </c>
      <c r="K81" s="10" t="s">
        <v>394</v>
      </c>
      <c r="L81" s="4" t="s">
        <v>99</v>
      </c>
    </row>
    <row r="82" spans="1:12" x14ac:dyDescent="0.2">
      <c r="A82" s="4" t="s">
        <v>12</v>
      </c>
      <c r="B82" s="5">
        <v>46170</v>
      </c>
      <c r="C82" s="4">
        <v>607800</v>
      </c>
      <c r="D82" s="4" t="s">
        <v>13</v>
      </c>
      <c r="E82" s="4">
        <v>10130</v>
      </c>
      <c r="F82" s="4" t="s">
        <v>17</v>
      </c>
      <c r="G82" s="6">
        <v>0.81</v>
      </c>
      <c r="H82" s="6">
        <v>3.0390000000000001</v>
      </c>
      <c r="I82" s="6">
        <v>51663</v>
      </c>
      <c r="J82" s="4" t="s">
        <v>15</v>
      </c>
      <c r="K82" s="10" t="s">
        <v>396</v>
      </c>
      <c r="L82" s="4" t="s">
        <v>101</v>
      </c>
    </row>
    <row r="83" spans="1:12" x14ac:dyDescent="0.2">
      <c r="A83" s="4" t="s">
        <v>12</v>
      </c>
      <c r="B83" s="5">
        <v>46170</v>
      </c>
      <c r="C83" s="4">
        <v>315300</v>
      </c>
      <c r="D83" s="4" t="s">
        <v>13</v>
      </c>
      <c r="E83" s="4">
        <v>5255</v>
      </c>
      <c r="F83" s="4" t="s">
        <v>17</v>
      </c>
      <c r="G83" s="6">
        <v>0.42</v>
      </c>
      <c r="H83" s="6">
        <v>1.577</v>
      </c>
      <c r="I83" s="6">
        <v>26801</v>
      </c>
      <c r="J83" s="4" t="s">
        <v>15</v>
      </c>
      <c r="K83" s="10" t="s">
        <v>396</v>
      </c>
      <c r="L83" s="4" t="s">
        <v>101</v>
      </c>
    </row>
    <row r="84" spans="1:12" x14ac:dyDescent="0.2">
      <c r="A84" s="4" t="s">
        <v>12</v>
      </c>
      <c r="B84" s="5">
        <v>46170</v>
      </c>
      <c r="C84" s="4">
        <v>14760</v>
      </c>
      <c r="D84" s="4" t="s">
        <v>13</v>
      </c>
      <c r="E84" s="4">
        <v>492</v>
      </c>
      <c r="F84" s="4" t="s">
        <v>17</v>
      </c>
      <c r="G84" s="6">
        <v>6.0999999999999999E-2</v>
      </c>
      <c r="H84" s="6">
        <v>0.24199999999999999</v>
      </c>
      <c r="I84" s="6">
        <v>7375</v>
      </c>
      <c r="J84" s="4" t="s">
        <v>15</v>
      </c>
      <c r="K84" s="10" t="s">
        <v>397</v>
      </c>
      <c r="L84" s="4" t="s">
        <v>102</v>
      </c>
    </row>
    <row r="85" spans="1:12" x14ac:dyDescent="0.2">
      <c r="A85" s="4" t="s">
        <v>12</v>
      </c>
      <c r="B85" s="5">
        <v>46170</v>
      </c>
      <c r="C85" s="4">
        <v>63360</v>
      </c>
      <c r="D85" s="4" t="s">
        <v>13</v>
      </c>
      <c r="E85" s="4">
        <v>1056</v>
      </c>
      <c r="F85" s="4" t="s">
        <v>72</v>
      </c>
      <c r="G85" s="6">
        <v>3.7999999999999999E-2</v>
      </c>
      <c r="H85" s="6">
        <v>0.19</v>
      </c>
      <c r="I85" s="6">
        <v>2112</v>
      </c>
      <c r="J85" s="4" t="s">
        <v>15</v>
      </c>
      <c r="K85" s="10" t="s">
        <v>398</v>
      </c>
      <c r="L85" s="4" t="s">
        <v>22</v>
      </c>
    </row>
    <row r="86" spans="1:12" x14ac:dyDescent="0.2">
      <c r="A86" s="4" t="s">
        <v>12</v>
      </c>
      <c r="B86" s="5">
        <v>46170</v>
      </c>
      <c r="C86" s="4">
        <v>1080</v>
      </c>
      <c r="D86" s="4" t="s">
        <v>13</v>
      </c>
      <c r="E86" s="4">
        <v>18</v>
      </c>
      <c r="F86" s="4" t="s">
        <v>17</v>
      </c>
      <c r="G86" s="6">
        <v>2E-3</v>
      </c>
      <c r="H86" s="6">
        <v>5.0000000000000001E-3</v>
      </c>
      <c r="I86" s="6">
        <v>109</v>
      </c>
      <c r="J86" s="4" t="s">
        <v>15</v>
      </c>
      <c r="K86" s="10" t="s">
        <v>399</v>
      </c>
      <c r="L86" s="4" t="s">
        <v>38</v>
      </c>
    </row>
    <row r="87" spans="1:12" x14ac:dyDescent="0.2">
      <c r="A87" s="4" t="s">
        <v>12</v>
      </c>
      <c r="B87" s="5">
        <v>46170</v>
      </c>
      <c r="C87" s="4">
        <v>82560</v>
      </c>
      <c r="D87" s="4" t="s">
        <v>13</v>
      </c>
      <c r="E87" s="4">
        <v>1376</v>
      </c>
      <c r="F87" s="4" t="s">
        <v>17</v>
      </c>
      <c r="G87" s="6">
        <v>0.127</v>
      </c>
      <c r="H87" s="6">
        <v>0.432</v>
      </c>
      <c r="I87" s="6">
        <v>9426</v>
      </c>
      <c r="J87" s="4" t="s">
        <v>15</v>
      </c>
      <c r="K87" s="10" t="s">
        <v>400</v>
      </c>
      <c r="L87" s="4" t="s">
        <v>103</v>
      </c>
    </row>
    <row r="88" spans="1:12" x14ac:dyDescent="0.2">
      <c r="A88" s="4" t="s">
        <v>12</v>
      </c>
      <c r="B88" s="5">
        <v>46170</v>
      </c>
      <c r="C88" s="4">
        <v>301224</v>
      </c>
      <c r="D88" s="4" t="s">
        <v>13</v>
      </c>
      <c r="E88" s="4">
        <v>3586</v>
      </c>
      <c r="F88" s="4" t="s">
        <v>17</v>
      </c>
      <c r="G88" s="6">
        <v>0.26100000000000001</v>
      </c>
      <c r="H88" s="6">
        <v>1.359</v>
      </c>
      <c r="I88" s="6">
        <v>10041</v>
      </c>
      <c r="J88" s="4" t="s">
        <v>15</v>
      </c>
      <c r="K88" s="10" t="s">
        <v>401</v>
      </c>
      <c r="L88" s="4" t="s">
        <v>104</v>
      </c>
    </row>
    <row r="89" spans="1:12" x14ac:dyDescent="0.2">
      <c r="A89" s="4" t="s">
        <v>12</v>
      </c>
      <c r="B89" s="5">
        <v>46170</v>
      </c>
      <c r="C89" s="4">
        <v>263256</v>
      </c>
      <c r="D89" s="4" t="s">
        <v>13</v>
      </c>
      <c r="E89" s="4">
        <v>3134</v>
      </c>
      <c r="F89" s="4" t="s">
        <v>17</v>
      </c>
      <c r="G89" s="6">
        <v>0.23699999999999999</v>
      </c>
      <c r="H89" s="6">
        <v>1.1579999999999999</v>
      </c>
      <c r="I89" s="6">
        <v>10656</v>
      </c>
      <c r="J89" s="4" t="s">
        <v>15</v>
      </c>
      <c r="K89" s="10" t="s">
        <v>402</v>
      </c>
      <c r="L89" s="4" t="s">
        <v>105</v>
      </c>
    </row>
    <row r="90" spans="1:12" x14ac:dyDescent="0.2">
      <c r="A90" s="4" t="s">
        <v>12</v>
      </c>
      <c r="B90" s="5">
        <v>46170</v>
      </c>
      <c r="C90" s="4">
        <v>46560</v>
      </c>
      <c r="D90" s="4" t="s">
        <v>13</v>
      </c>
      <c r="E90" s="4">
        <v>776</v>
      </c>
      <c r="F90" s="4" t="s">
        <v>17</v>
      </c>
      <c r="G90" s="6">
        <v>0.13700000000000001</v>
      </c>
      <c r="H90" s="6">
        <v>0.81899999999999995</v>
      </c>
      <c r="I90" s="6">
        <v>5316</v>
      </c>
      <c r="J90" s="4" t="s">
        <v>15</v>
      </c>
      <c r="K90" s="10" t="s">
        <v>400</v>
      </c>
      <c r="L90" s="4" t="s">
        <v>103</v>
      </c>
    </row>
    <row r="91" spans="1:12" x14ac:dyDescent="0.2">
      <c r="A91" s="4" t="s">
        <v>12</v>
      </c>
      <c r="B91" s="5">
        <v>46170</v>
      </c>
      <c r="C91" s="4">
        <v>964620</v>
      </c>
      <c r="D91" s="4" t="s">
        <v>13</v>
      </c>
      <c r="E91" s="4">
        <v>32154</v>
      </c>
      <c r="F91" s="4" t="s">
        <v>17</v>
      </c>
      <c r="G91" s="6">
        <v>2.827</v>
      </c>
      <c r="H91" s="6">
        <v>6.2380000000000004</v>
      </c>
      <c r="I91" s="6">
        <v>81993</v>
      </c>
      <c r="J91" s="4" t="s">
        <v>15</v>
      </c>
      <c r="K91" s="10" t="s">
        <v>403</v>
      </c>
      <c r="L91" s="4" t="s">
        <v>106</v>
      </c>
    </row>
    <row r="92" spans="1:12" x14ac:dyDescent="0.2">
      <c r="A92" s="4" t="s">
        <v>12</v>
      </c>
      <c r="B92" s="5">
        <v>46170</v>
      </c>
      <c r="C92" s="4">
        <v>6700</v>
      </c>
      <c r="D92" s="4" t="s">
        <v>13</v>
      </c>
      <c r="E92" s="4">
        <v>134</v>
      </c>
      <c r="F92" s="4" t="s">
        <v>17</v>
      </c>
      <c r="G92" s="6">
        <v>0.10299999999999999</v>
      </c>
      <c r="H92" s="6">
        <v>0.308</v>
      </c>
      <c r="I92" s="6">
        <v>192</v>
      </c>
      <c r="J92" s="4" t="s">
        <v>15</v>
      </c>
      <c r="K92" s="10" t="s">
        <v>404</v>
      </c>
      <c r="L92" s="4" t="s">
        <v>107</v>
      </c>
    </row>
    <row r="93" spans="1:12" x14ac:dyDescent="0.2">
      <c r="A93" s="4" t="s">
        <v>12</v>
      </c>
      <c r="B93" s="5">
        <v>46170</v>
      </c>
      <c r="C93" s="4">
        <v>964800</v>
      </c>
      <c r="D93" s="4" t="s">
        <v>13</v>
      </c>
      <c r="E93" s="4">
        <v>32160</v>
      </c>
      <c r="F93" s="4" t="s">
        <v>17</v>
      </c>
      <c r="G93" s="6">
        <v>2.3159999999999998</v>
      </c>
      <c r="H93" s="6">
        <v>6.2389999999999999</v>
      </c>
      <c r="I93" s="6">
        <v>82008</v>
      </c>
      <c r="J93" s="4" t="s">
        <v>15</v>
      </c>
      <c r="K93" s="10" t="s">
        <v>403</v>
      </c>
      <c r="L93" s="4" t="s">
        <v>106</v>
      </c>
    </row>
    <row r="94" spans="1:12" x14ac:dyDescent="0.2">
      <c r="A94" s="4" t="s">
        <v>12</v>
      </c>
      <c r="B94" s="5">
        <v>46170</v>
      </c>
      <c r="C94" s="4">
        <v>630840</v>
      </c>
      <c r="D94" s="4" t="s">
        <v>13</v>
      </c>
      <c r="E94" s="4">
        <v>21028</v>
      </c>
      <c r="F94" s="4" t="s">
        <v>17</v>
      </c>
      <c r="G94" s="6">
        <v>1.514</v>
      </c>
      <c r="H94" s="6">
        <v>4.0789999999999997</v>
      </c>
      <c r="I94" s="6">
        <v>53621</v>
      </c>
      <c r="J94" s="4" t="s">
        <v>15</v>
      </c>
      <c r="K94" s="10" t="s">
        <v>403</v>
      </c>
      <c r="L94" s="4" t="s">
        <v>106</v>
      </c>
    </row>
    <row r="95" spans="1:12" x14ac:dyDescent="0.2">
      <c r="A95" s="4" t="s">
        <v>12</v>
      </c>
      <c r="B95" s="5">
        <v>46170</v>
      </c>
      <c r="C95" s="4">
        <v>218010</v>
      </c>
      <c r="D95" s="4" t="s">
        <v>13</v>
      </c>
      <c r="E95" s="4">
        <v>7267</v>
      </c>
      <c r="F95" s="4" t="s">
        <v>17</v>
      </c>
      <c r="G95" s="6">
        <v>0.52300000000000002</v>
      </c>
      <c r="H95" s="6">
        <v>1.41</v>
      </c>
      <c r="I95" s="6">
        <v>18531</v>
      </c>
      <c r="J95" s="4" t="s">
        <v>15</v>
      </c>
      <c r="K95" s="10" t="s">
        <v>405</v>
      </c>
      <c r="L95" s="4" t="s">
        <v>106</v>
      </c>
    </row>
    <row r="96" spans="1:12" x14ac:dyDescent="0.2">
      <c r="A96" s="4" t="s">
        <v>12</v>
      </c>
      <c r="B96" s="5">
        <v>46170</v>
      </c>
      <c r="C96" s="4">
        <v>252000</v>
      </c>
      <c r="D96" s="4" t="s">
        <v>13</v>
      </c>
      <c r="E96" s="4">
        <v>8400</v>
      </c>
      <c r="F96" s="4" t="s">
        <v>17</v>
      </c>
      <c r="G96" s="6">
        <v>0.60499999999999998</v>
      </c>
      <c r="H96" s="6">
        <v>1.63</v>
      </c>
      <c r="I96" s="6">
        <v>21420</v>
      </c>
      <c r="J96" s="4" t="s">
        <v>15</v>
      </c>
      <c r="K96" s="10" t="s">
        <v>405</v>
      </c>
      <c r="L96" s="4" t="s">
        <v>106</v>
      </c>
    </row>
    <row r="97" spans="1:12" x14ac:dyDescent="0.2">
      <c r="A97" s="4" t="s">
        <v>12</v>
      </c>
      <c r="B97" s="5">
        <v>46170</v>
      </c>
      <c r="C97" s="4">
        <v>968400</v>
      </c>
      <c r="D97" s="4" t="s">
        <v>13</v>
      </c>
      <c r="E97" s="4">
        <v>32280</v>
      </c>
      <c r="F97" s="4" t="s">
        <v>17</v>
      </c>
      <c r="G97" s="6">
        <v>2.3239999999999998</v>
      </c>
      <c r="H97" s="6">
        <v>6.2619999999999996</v>
      </c>
      <c r="I97" s="6">
        <v>82314</v>
      </c>
      <c r="J97" s="4" t="s">
        <v>15</v>
      </c>
      <c r="K97" s="10" t="s">
        <v>403</v>
      </c>
      <c r="L97" s="4" t="s">
        <v>106</v>
      </c>
    </row>
    <row r="98" spans="1:12" x14ac:dyDescent="0.2">
      <c r="A98" s="4" t="s">
        <v>12</v>
      </c>
      <c r="B98" s="5">
        <v>46170</v>
      </c>
      <c r="C98" s="4">
        <v>5200</v>
      </c>
      <c r="D98" s="4" t="s">
        <v>13</v>
      </c>
      <c r="E98" s="4">
        <v>52</v>
      </c>
      <c r="F98" s="4" t="s">
        <v>17</v>
      </c>
      <c r="G98" s="6">
        <v>9.4E-2</v>
      </c>
      <c r="H98" s="6">
        <v>0.26</v>
      </c>
      <c r="I98" s="6">
        <v>3328</v>
      </c>
      <c r="J98" s="4" t="s">
        <v>15</v>
      </c>
      <c r="K98" s="10" t="s">
        <v>406</v>
      </c>
      <c r="L98" s="4" t="s">
        <v>23</v>
      </c>
    </row>
    <row r="99" spans="1:12" x14ac:dyDescent="0.2">
      <c r="A99" s="4" t="s">
        <v>12</v>
      </c>
      <c r="B99" s="5">
        <v>46170</v>
      </c>
      <c r="C99" s="4">
        <v>27800</v>
      </c>
      <c r="D99" s="4" t="s">
        <v>13</v>
      </c>
      <c r="E99" s="4">
        <v>278</v>
      </c>
      <c r="F99" s="4" t="s">
        <v>17</v>
      </c>
      <c r="G99" s="6">
        <v>0.5</v>
      </c>
      <c r="H99" s="6">
        <v>1.39</v>
      </c>
      <c r="I99" s="6">
        <v>17792</v>
      </c>
      <c r="J99" s="4" t="s">
        <v>15</v>
      </c>
      <c r="K99" s="10" t="s">
        <v>407</v>
      </c>
      <c r="L99" s="4" t="s">
        <v>23</v>
      </c>
    </row>
    <row r="100" spans="1:12" x14ac:dyDescent="0.2">
      <c r="A100" s="4" t="s">
        <v>12</v>
      </c>
      <c r="B100" s="5">
        <v>46170</v>
      </c>
      <c r="C100" s="4">
        <v>30</v>
      </c>
      <c r="D100" s="4" t="s">
        <v>13</v>
      </c>
      <c r="E100" s="4">
        <v>1</v>
      </c>
      <c r="F100" s="4" t="s">
        <v>17</v>
      </c>
      <c r="G100" s="6">
        <v>0</v>
      </c>
      <c r="H100" s="6">
        <v>0</v>
      </c>
      <c r="I100" s="6">
        <v>9</v>
      </c>
      <c r="J100" s="4" t="s">
        <v>15</v>
      </c>
      <c r="K100" s="10" t="s">
        <v>408</v>
      </c>
      <c r="L100" s="4" t="s">
        <v>108</v>
      </c>
    </row>
    <row r="101" spans="1:12" x14ac:dyDescent="0.2">
      <c r="A101" s="4" t="s">
        <v>12</v>
      </c>
      <c r="B101" s="5">
        <v>46170</v>
      </c>
      <c r="C101" s="4">
        <v>168000</v>
      </c>
      <c r="D101" s="4" t="s">
        <v>13</v>
      </c>
      <c r="E101" s="4">
        <v>2800</v>
      </c>
      <c r="F101" s="4" t="s">
        <v>17</v>
      </c>
      <c r="G101" s="6">
        <v>0.10100000000000001</v>
      </c>
      <c r="H101" s="6">
        <v>0.504</v>
      </c>
      <c r="I101" s="6">
        <v>4984</v>
      </c>
      <c r="J101" s="4" t="s">
        <v>15</v>
      </c>
      <c r="K101" s="10" t="s">
        <v>409</v>
      </c>
      <c r="L101" s="4" t="s">
        <v>109</v>
      </c>
    </row>
    <row r="102" spans="1:12" x14ac:dyDescent="0.2">
      <c r="A102" s="4" t="s">
        <v>12</v>
      </c>
      <c r="B102" s="5">
        <v>46170</v>
      </c>
      <c r="C102" s="4">
        <v>87270</v>
      </c>
      <c r="D102" s="4" t="s">
        <v>13</v>
      </c>
      <c r="E102" s="4">
        <v>2909</v>
      </c>
      <c r="F102" s="4" t="s">
        <v>17</v>
      </c>
      <c r="G102" s="6">
        <v>0.36</v>
      </c>
      <c r="H102" s="6">
        <v>1.431</v>
      </c>
      <c r="I102" s="6">
        <v>37788</v>
      </c>
      <c r="J102" s="4" t="s">
        <v>15</v>
      </c>
      <c r="K102" s="10" t="s">
        <v>410</v>
      </c>
      <c r="L102" s="4" t="s">
        <v>102</v>
      </c>
    </row>
    <row r="103" spans="1:12" x14ac:dyDescent="0.2">
      <c r="A103" s="4" t="s">
        <v>12</v>
      </c>
      <c r="B103" s="5">
        <v>46170</v>
      </c>
      <c r="C103" s="4">
        <v>318060</v>
      </c>
      <c r="D103" s="4" t="s">
        <v>13</v>
      </c>
      <c r="E103" s="4">
        <v>5301</v>
      </c>
      <c r="F103" s="4" t="s">
        <v>17</v>
      </c>
      <c r="G103" s="6">
        <v>0.26500000000000001</v>
      </c>
      <c r="H103" s="6">
        <v>1.06</v>
      </c>
      <c r="I103" s="6">
        <v>11662</v>
      </c>
      <c r="J103" s="4" t="s">
        <v>15</v>
      </c>
      <c r="K103" s="10" t="s">
        <v>411</v>
      </c>
      <c r="L103" s="4" t="s">
        <v>110</v>
      </c>
    </row>
    <row r="104" spans="1:12" x14ac:dyDescent="0.2">
      <c r="A104" s="4" t="s">
        <v>12</v>
      </c>
      <c r="B104" s="5">
        <v>46170</v>
      </c>
      <c r="C104" s="4">
        <v>53160</v>
      </c>
      <c r="D104" s="4" t="s">
        <v>13</v>
      </c>
      <c r="E104" s="4">
        <v>886</v>
      </c>
      <c r="F104" s="4" t="s">
        <v>17</v>
      </c>
      <c r="G104" s="6">
        <v>0.13600000000000001</v>
      </c>
      <c r="H104" s="6">
        <v>0.36899999999999999</v>
      </c>
      <c r="I104" s="6">
        <v>47844</v>
      </c>
      <c r="J104" s="4" t="s">
        <v>15</v>
      </c>
      <c r="K104" s="10" t="s">
        <v>412</v>
      </c>
      <c r="L104" s="4" t="s">
        <v>111</v>
      </c>
    </row>
    <row r="105" spans="1:12" x14ac:dyDescent="0.2">
      <c r="A105" s="4" t="s">
        <v>12</v>
      </c>
      <c r="B105" s="5">
        <v>46170</v>
      </c>
      <c r="C105" s="4">
        <v>114840</v>
      </c>
      <c r="D105" s="4" t="s">
        <v>13</v>
      </c>
      <c r="E105" s="4">
        <v>1914</v>
      </c>
      <c r="F105" s="4" t="s">
        <v>17</v>
      </c>
      <c r="G105" s="6">
        <v>0.29399999999999998</v>
      </c>
      <c r="H105" s="6">
        <v>0.79800000000000004</v>
      </c>
      <c r="I105" s="6">
        <v>103356</v>
      </c>
      <c r="J105" s="4" t="s">
        <v>15</v>
      </c>
      <c r="K105" s="10" t="s">
        <v>412</v>
      </c>
      <c r="L105" s="4" t="s">
        <v>111</v>
      </c>
    </row>
    <row r="106" spans="1:12" x14ac:dyDescent="0.2">
      <c r="A106" s="4" t="s">
        <v>12</v>
      </c>
      <c r="B106" s="5">
        <v>46170</v>
      </c>
      <c r="C106" s="4">
        <v>61680</v>
      </c>
      <c r="D106" s="4" t="s">
        <v>13</v>
      </c>
      <c r="E106" s="4">
        <v>1028</v>
      </c>
      <c r="F106" s="4" t="s">
        <v>17</v>
      </c>
      <c r="G106" s="6">
        <v>0.158</v>
      </c>
      <c r="H106" s="6">
        <v>0.42899999999999999</v>
      </c>
      <c r="I106" s="6">
        <v>55512</v>
      </c>
      <c r="J106" s="4" t="s">
        <v>15</v>
      </c>
      <c r="K106" s="10" t="s">
        <v>412</v>
      </c>
      <c r="L106" s="4" t="s">
        <v>111</v>
      </c>
    </row>
    <row r="107" spans="1:12" x14ac:dyDescent="0.2">
      <c r="A107" s="4" t="s">
        <v>12</v>
      </c>
      <c r="B107" s="5">
        <v>46170</v>
      </c>
      <c r="C107" s="4">
        <v>81630</v>
      </c>
      <c r="D107" s="4" t="s">
        <v>13</v>
      </c>
      <c r="E107" s="4">
        <v>2721</v>
      </c>
      <c r="F107" s="4" t="s">
        <v>17</v>
      </c>
      <c r="G107" s="6">
        <v>0.11899999999999999</v>
      </c>
      <c r="H107" s="6">
        <v>1.407</v>
      </c>
      <c r="I107" s="6">
        <v>23809</v>
      </c>
      <c r="J107" s="4" t="s">
        <v>15</v>
      </c>
      <c r="K107" s="10" t="s">
        <v>413</v>
      </c>
      <c r="L107" s="4" t="s">
        <v>112</v>
      </c>
    </row>
    <row r="108" spans="1:12" x14ac:dyDescent="0.2">
      <c r="A108" s="4" t="s">
        <v>12</v>
      </c>
      <c r="B108" s="5">
        <v>46170</v>
      </c>
      <c r="C108" s="4">
        <v>23900</v>
      </c>
      <c r="D108" s="4" t="s">
        <v>13</v>
      </c>
      <c r="E108" s="4">
        <v>239</v>
      </c>
      <c r="F108" s="4" t="s">
        <v>17</v>
      </c>
      <c r="G108" s="6">
        <v>3.7999999999999999E-2</v>
      </c>
      <c r="H108" s="6">
        <v>0.10299999999999999</v>
      </c>
      <c r="I108" s="6">
        <v>19120</v>
      </c>
      <c r="J108" s="4" t="s">
        <v>15</v>
      </c>
      <c r="K108" s="10" t="s">
        <v>414</v>
      </c>
      <c r="L108" s="4" t="s">
        <v>113</v>
      </c>
    </row>
    <row r="109" spans="1:12" x14ac:dyDescent="0.2">
      <c r="A109" s="4" t="s">
        <v>12</v>
      </c>
      <c r="B109" s="5">
        <v>46170</v>
      </c>
      <c r="C109" s="4">
        <v>717696</v>
      </c>
      <c r="D109" s="4" t="s">
        <v>13</v>
      </c>
      <c r="E109" s="4">
        <v>1068</v>
      </c>
      <c r="F109" s="4" t="s">
        <v>17</v>
      </c>
      <c r="G109" s="6">
        <v>0.61099999999999999</v>
      </c>
      <c r="H109" s="6">
        <v>2.4609999999999999</v>
      </c>
      <c r="I109" s="6">
        <v>23507</v>
      </c>
      <c r="J109" s="4" t="s">
        <v>15</v>
      </c>
      <c r="K109" s="10" t="s">
        <v>415</v>
      </c>
      <c r="L109" s="4" t="s">
        <v>27</v>
      </c>
    </row>
    <row r="110" spans="1:12" x14ac:dyDescent="0.2">
      <c r="A110" s="4" t="s">
        <v>12</v>
      </c>
      <c r="B110" s="5">
        <v>46170</v>
      </c>
      <c r="C110" s="4">
        <v>1563072</v>
      </c>
      <c r="D110" s="4" t="s">
        <v>13</v>
      </c>
      <c r="E110" s="4">
        <v>2326</v>
      </c>
      <c r="F110" s="4" t="s">
        <v>17</v>
      </c>
      <c r="G110" s="6">
        <v>1.331</v>
      </c>
      <c r="H110" s="6">
        <v>5.3319999999999999</v>
      </c>
      <c r="I110" s="6">
        <v>51195</v>
      </c>
      <c r="J110" s="4" t="s">
        <v>15</v>
      </c>
      <c r="K110" s="10" t="s">
        <v>416</v>
      </c>
      <c r="L110" s="4" t="s">
        <v>27</v>
      </c>
    </row>
    <row r="111" spans="1:12" x14ac:dyDescent="0.2">
      <c r="A111" s="4" t="s">
        <v>12</v>
      </c>
      <c r="B111" s="5">
        <v>46170</v>
      </c>
      <c r="C111" s="4">
        <v>1529472</v>
      </c>
      <c r="D111" s="4" t="s">
        <v>13</v>
      </c>
      <c r="E111" s="4">
        <v>2276</v>
      </c>
      <c r="F111" s="4" t="s">
        <v>17</v>
      </c>
      <c r="G111" s="6">
        <v>1.302</v>
      </c>
      <c r="H111" s="6">
        <v>5.2089999999999996</v>
      </c>
      <c r="I111" s="6">
        <v>50095</v>
      </c>
      <c r="J111" s="4" t="s">
        <v>15</v>
      </c>
      <c r="K111" s="10" t="s">
        <v>417</v>
      </c>
      <c r="L111" s="4" t="s">
        <v>27</v>
      </c>
    </row>
    <row r="112" spans="1:12" x14ac:dyDescent="0.2">
      <c r="A112" s="4" t="s">
        <v>12</v>
      </c>
      <c r="B112" s="5">
        <v>46170</v>
      </c>
      <c r="C112" s="4">
        <v>305760</v>
      </c>
      <c r="D112" s="4" t="s">
        <v>13</v>
      </c>
      <c r="E112" s="4">
        <v>455</v>
      </c>
      <c r="F112" s="4" t="s">
        <v>17</v>
      </c>
      <c r="G112" s="6">
        <v>0.42</v>
      </c>
      <c r="H112" s="6">
        <v>1.345</v>
      </c>
      <c r="I112" s="6">
        <v>16821</v>
      </c>
      <c r="J112" s="4" t="s">
        <v>15</v>
      </c>
      <c r="K112" s="10" t="s">
        <v>418</v>
      </c>
      <c r="L112" s="4" t="s">
        <v>114</v>
      </c>
    </row>
    <row r="113" spans="1:12" x14ac:dyDescent="0.2">
      <c r="A113" s="4" t="s">
        <v>12</v>
      </c>
      <c r="B113" s="5">
        <v>46170</v>
      </c>
      <c r="C113" s="4">
        <v>165984</v>
      </c>
      <c r="D113" s="4" t="s">
        <v>13</v>
      </c>
      <c r="E113" s="4">
        <v>247</v>
      </c>
      <c r="F113" s="4" t="s">
        <v>17</v>
      </c>
      <c r="G113" s="6">
        <v>0.32900000000000001</v>
      </c>
      <c r="H113" s="6">
        <v>1.113</v>
      </c>
      <c r="I113" s="6">
        <v>11306</v>
      </c>
      <c r="J113" s="4" t="s">
        <v>15</v>
      </c>
      <c r="K113" s="10" t="s">
        <v>419</v>
      </c>
      <c r="L113" s="4" t="s">
        <v>115</v>
      </c>
    </row>
    <row r="114" spans="1:12" x14ac:dyDescent="0.2">
      <c r="A114" s="4" t="s">
        <v>12</v>
      </c>
      <c r="B114" s="5">
        <v>46170</v>
      </c>
      <c r="C114" s="4">
        <v>731808</v>
      </c>
      <c r="D114" s="4" t="s">
        <v>13</v>
      </c>
      <c r="E114" s="4">
        <v>1089</v>
      </c>
      <c r="F114" s="4" t="s">
        <v>17</v>
      </c>
      <c r="G114" s="6">
        <v>1.4339999999999999</v>
      </c>
      <c r="H114" s="6">
        <v>4.8540000000000001</v>
      </c>
      <c r="I114" s="6">
        <v>49343</v>
      </c>
      <c r="J114" s="4" t="s">
        <v>15</v>
      </c>
      <c r="K114" s="10" t="s">
        <v>419</v>
      </c>
      <c r="L114" s="4" t="s">
        <v>115</v>
      </c>
    </row>
    <row r="115" spans="1:12" x14ac:dyDescent="0.2">
      <c r="A115" s="4" t="s">
        <v>12</v>
      </c>
      <c r="B115" s="5">
        <v>46170</v>
      </c>
      <c r="C115" s="4">
        <v>785568</v>
      </c>
      <c r="D115" s="4" t="s">
        <v>13</v>
      </c>
      <c r="E115" s="4">
        <v>1169</v>
      </c>
      <c r="F115" s="4" t="s">
        <v>17</v>
      </c>
      <c r="G115" s="6">
        <v>1.5389999999999999</v>
      </c>
      <c r="H115" s="6">
        <v>5.2149999999999999</v>
      </c>
      <c r="I115" s="6">
        <v>52967</v>
      </c>
      <c r="J115" s="4" t="s">
        <v>15</v>
      </c>
      <c r="K115" s="10" t="s">
        <v>419</v>
      </c>
      <c r="L115" s="4" t="s">
        <v>115</v>
      </c>
    </row>
    <row r="116" spans="1:12" x14ac:dyDescent="0.2">
      <c r="A116" s="4" t="s">
        <v>12</v>
      </c>
      <c r="B116" s="5">
        <v>46170</v>
      </c>
      <c r="C116" s="4">
        <v>122976</v>
      </c>
      <c r="D116" s="4" t="s">
        <v>13</v>
      </c>
      <c r="E116" s="4">
        <v>183</v>
      </c>
      <c r="F116" s="4" t="s">
        <v>17</v>
      </c>
      <c r="G116" s="6">
        <v>0.24099999999999999</v>
      </c>
      <c r="H116" s="6">
        <v>0.85099999999999998</v>
      </c>
      <c r="I116" s="6">
        <v>8292</v>
      </c>
      <c r="J116" s="4" t="s">
        <v>15</v>
      </c>
      <c r="K116" s="10" t="s">
        <v>419</v>
      </c>
      <c r="L116" s="4" t="s">
        <v>115</v>
      </c>
    </row>
    <row r="117" spans="1:12" x14ac:dyDescent="0.2">
      <c r="A117" s="4" t="s">
        <v>12</v>
      </c>
      <c r="B117" s="5">
        <v>46170</v>
      </c>
      <c r="C117" s="4">
        <v>77340</v>
      </c>
      <c r="D117" s="4" t="s">
        <v>13</v>
      </c>
      <c r="E117" s="4">
        <v>1289</v>
      </c>
      <c r="F117" s="4" t="s">
        <v>17</v>
      </c>
      <c r="G117" s="6">
        <v>0.156</v>
      </c>
      <c r="H117" s="6">
        <v>0.91</v>
      </c>
      <c r="I117" s="6">
        <v>71540</v>
      </c>
      <c r="J117" s="4" t="s">
        <v>15</v>
      </c>
      <c r="K117" s="10" t="s">
        <v>420</v>
      </c>
      <c r="L117" s="4" t="s">
        <v>116</v>
      </c>
    </row>
    <row r="118" spans="1:12" x14ac:dyDescent="0.2">
      <c r="A118" s="4" t="s">
        <v>12</v>
      </c>
      <c r="B118" s="5">
        <v>46170</v>
      </c>
      <c r="C118" s="4">
        <v>678480</v>
      </c>
      <c r="D118" s="4" t="s">
        <v>13</v>
      </c>
      <c r="E118" s="4">
        <v>22616</v>
      </c>
      <c r="F118" s="4" t="s">
        <v>72</v>
      </c>
      <c r="G118" s="6">
        <v>1.9219999999999999</v>
      </c>
      <c r="H118" s="6">
        <v>7.7539999999999996</v>
      </c>
      <c r="I118" s="6">
        <v>152658</v>
      </c>
      <c r="J118" s="4" t="s">
        <v>15</v>
      </c>
      <c r="K118" s="10" t="s">
        <v>421</v>
      </c>
      <c r="L118" s="4" t="s">
        <v>117</v>
      </c>
    </row>
    <row r="119" spans="1:12" x14ac:dyDescent="0.2">
      <c r="A119" s="4" t="s">
        <v>12</v>
      </c>
      <c r="B119" s="5">
        <v>46170</v>
      </c>
      <c r="C119" s="4">
        <v>26400</v>
      </c>
      <c r="D119" s="4" t="s">
        <v>13</v>
      </c>
      <c r="E119" s="4">
        <v>264</v>
      </c>
      <c r="F119" s="4" t="s">
        <v>17</v>
      </c>
      <c r="G119" s="6">
        <v>2.5999999999999999E-2</v>
      </c>
      <c r="H119" s="6">
        <v>7.0000000000000001E-3</v>
      </c>
      <c r="I119" s="6">
        <v>25935</v>
      </c>
      <c r="J119" s="4" t="s">
        <v>15</v>
      </c>
      <c r="K119" s="10" t="s">
        <v>422</v>
      </c>
      <c r="L119" s="4" t="s">
        <v>118</v>
      </c>
    </row>
    <row r="120" spans="1:12" x14ac:dyDescent="0.2">
      <c r="A120" s="4" t="s">
        <v>12</v>
      </c>
      <c r="B120" s="5">
        <v>46170</v>
      </c>
      <c r="C120" s="4">
        <v>93408</v>
      </c>
      <c r="D120" s="4" t="s">
        <v>13</v>
      </c>
      <c r="E120" s="4">
        <v>139</v>
      </c>
      <c r="F120" s="4" t="s">
        <v>72</v>
      </c>
      <c r="G120" s="6">
        <v>7.3999999999999996E-2</v>
      </c>
      <c r="H120" s="6">
        <v>2.1999999999999999E-2</v>
      </c>
      <c r="I120" s="6">
        <v>1946</v>
      </c>
      <c r="J120" s="4" t="s">
        <v>15</v>
      </c>
      <c r="K120" s="10" t="s">
        <v>423</v>
      </c>
      <c r="L120" s="4" t="s">
        <v>119</v>
      </c>
    </row>
    <row r="121" spans="1:12" x14ac:dyDescent="0.2">
      <c r="A121" s="4" t="s">
        <v>12</v>
      </c>
      <c r="B121" s="5">
        <v>46170</v>
      </c>
      <c r="C121" s="4">
        <v>86688</v>
      </c>
      <c r="D121" s="4" t="s">
        <v>13</v>
      </c>
      <c r="E121" s="4">
        <v>129</v>
      </c>
      <c r="F121" s="4" t="s">
        <v>17</v>
      </c>
      <c r="G121" s="6">
        <v>8.7999999999999995E-2</v>
      </c>
      <c r="H121" s="6">
        <v>1.7000000000000001E-2</v>
      </c>
      <c r="I121" s="6">
        <v>2580</v>
      </c>
      <c r="J121" s="4" t="s">
        <v>15</v>
      </c>
      <c r="K121" s="10" t="s">
        <v>424</v>
      </c>
      <c r="L121" s="4" t="s">
        <v>120</v>
      </c>
    </row>
    <row r="122" spans="1:12" x14ac:dyDescent="0.2">
      <c r="A122" s="4" t="s">
        <v>12</v>
      </c>
      <c r="B122" s="5">
        <v>46170</v>
      </c>
      <c r="C122" s="4">
        <v>155</v>
      </c>
      <c r="D122" s="4" t="s">
        <v>13</v>
      </c>
      <c r="E122" s="4">
        <v>155</v>
      </c>
      <c r="F122" s="4" t="s">
        <v>17</v>
      </c>
      <c r="G122" s="6">
        <v>5.6000000000000001E-2</v>
      </c>
      <c r="H122" s="6">
        <v>1.2999999999999999E-2</v>
      </c>
      <c r="I122" s="6">
        <v>8525</v>
      </c>
      <c r="J122" s="4" t="s">
        <v>15</v>
      </c>
      <c r="K122" s="10" t="s">
        <v>425</v>
      </c>
      <c r="L122" s="4" t="s">
        <v>121</v>
      </c>
    </row>
    <row r="123" spans="1:12" x14ac:dyDescent="0.2">
      <c r="A123" s="4" t="s">
        <v>12</v>
      </c>
      <c r="B123" s="5">
        <v>46170</v>
      </c>
      <c r="C123" s="4">
        <v>25500</v>
      </c>
      <c r="D123" s="4" t="s">
        <v>13</v>
      </c>
      <c r="E123" s="4">
        <v>255</v>
      </c>
      <c r="F123" s="4" t="s">
        <v>17</v>
      </c>
      <c r="G123" s="6">
        <v>3.6999999999999998E-2</v>
      </c>
      <c r="H123" s="6">
        <v>0.123</v>
      </c>
      <c r="I123" s="6">
        <v>6758</v>
      </c>
      <c r="J123" s="4" t="s">
        <v>15</v>
      </c>
      <c r="K123" s="10" t="s">
        <v>426</v>
      </c>
      <c r="L123" s="4" t="s">
        <v>122</v>
      </c>
    </row>
    <row r="124" spans="1:12" x14ac:dyDescent="0.2">
      <c r="A124" s="4" t="s">
        <v>12</v>
      </c>
      <c r="B124" s="5">
        <v>46170</v>
      </c>
      <c r="C124" s="4">
        <v>4200</v>
      </c>
      <c r="D124" s="4" t="s">
        <v>13</v>
      </c>
      <c r="E124" s="4">
        <v>42</v>
      </c>
      <c r="F124" s="4" t="s">
        <v>17</v>
      </c>
      <c r="G124" s="6">
        <v>4.2000000000000003E-2</v>
      </c>
      <c r="H124" s="6">
        <v>2E-3</v>
      </c>
      <c r="I124" s="6">
        <v>187</v>
      </c>
      <c r="J124" s="4" t="s">
        <v>15</v>
      </c>
      <c r="K124" s="10" t="s">
        <v>427</v>
      </c>
      <c r="L124" s="4" t="s">
        <v>123</v>
      </c>
    </row>
    <row r="125" spans="1:12" x14ac:dyDescent="0.2">
      <c r="A125" s="4" t="s">
        <v>12</v>
      </c>
      <c r="B125" s="5">
        <v>46170</v>
      </c>
      <c r="C125" s="4">
        <v>38000</v>
      </c>
      <c r="D125" s="4" t="s">
        <v>13</v>
      </c>
      <c r="E125" s="4">
        <v>380</v>
      </c>
      <c r="F125" s="4" t="s">
        <v>17</v>
      </c>
      <c r="G125" s="6">
        <v>3.4000000000000002E-2</v>
      </c>
      <c r="H125" s="6">
        <v>8.9999999999999993E-3</v>
      </c>
      <c r="I125" s="6">
        <v>3116</v>
      </c>
      <c r="J125" s="4" t="s">
        <v>15</v>
      </c>
      <c r="K125" s="10" t="s">
        <v>428</v>
      </c>
      <c r="L125" s="4" t="s">
        <v>124</v>
      </c>
    </row>
    <row r="126" spans="1:12" x14ac:dyDescent="0.2">
      <c r="A126" s="4" t="s">
        <v>12</v>
      </c>
      <c r="B126" s="5">
        <v>46170</v>
      </c>
      <c r="C126" s="4">
        <v>1300</v>
      </c>
      <c r="D126" s="4" t="s">
        <v>13</v>
      </c>
      <c r="E126" s="4">
        <v>130</v>
      </c>
      <c r="F126" s="4" t="s">
        <v>17</v>
      </c>
      <c r="G126" s="6">
        <v>1.0999999999999999E-2</v>
      </c>
      <c r="H126" s="6">
        <v>0.04</v>
      </c>
      <c r="I126" s="6">
        <v>903</v>
      </c>
      <c r="J126" s="4" t="s">
        <v>15</v>
      </c>
      <c r="K126" s="10" t="s">
        <v>429</v>
      </c>
      <c r="L126" s="4" t="s">
        <v>125</v>
      </c>
    </row>
    <row r="127" spans="1:12" x14ac:dyDescent="0.2">
      <c r="A127" s="4" t="s">
        <v>12</v>
      </c>
      <c r="B127" s="5">
        <v>46170</v>
      </c>
      <c r="C127" s="4">
        <v>15500</v>
      </c>
      <c r="D127" s="4" t="s">
        <v>13</v>
      </c>
      <c r="E127" s="4">
        <v>1550</v>
      </c>
      <c r="F127" s="4" t="s">
        <v>17</v>
      </c>
      <c r="G127" s="6">
        <v>0.13200000000000001</v>
      </c>
      <c r="H127" s="6">
        <v>0.47099999999999997</v>
      </c>
      <c r="I127" s="6">
        <v>10773</v>
      </c>
      <c r="J127" s="4" t="s">
        <v>15</v>
      </c>
      <c r="K127" s="10" t="s">
        <v>429</v>
      </c>
      <c r="L127" s="4" t="s">
        <v>126</v>
      </c>
    </row>
    <row r="128" spans="1:12" x14ac:dyDescent="0.2">
      <c r="A128" s="4" t="s">
        <v>12</v>
      </c>
      <c r="B128" s="5">
        <v>46170</v>
      </c>
      <c r="C128" s="4">
        <v>446880</v>
      </c>
      <c r="D128" s="4" t="s">
        <v>13</v>
      </c>
      <c r="E128" s="4">
        <v>7448</v>
      </c>
      <c r="F128" s="4" t="s">
        <v>17</v>
      </c>
      <c r="G128" s="6">
        <v>0.56899999999999995</v>
      </c>
      <c r="H128" s="6">
        <v>2.0699999999999998</v>
      </c>
      <c r="I128" s="6">
        <v>37166</v>
      </c>
      <c r="J128" s="4" t="s">
        <v>15</v>
      </c>
      <c r="K128" s="10" t="s">
        <v>430</v>
      </c>
      <c r="L128" s="4" t="s">
        <v>127</v>
      </c>
    </row>
    <row r="129" spans="1:12" x14ac:dyDescent="0.2">
      <c r="A129" s="4" t="s">
        <v>12</v>
      </c>
      <c r="B129" s="5">
        <v>46170</v>
      </c>
      <c r="C129" s="4">
        <v>1168080</v>
      </c>
      <c r="D129" s="4" t="s">
        <v>13</v>
      </c>
      <c r="E129" s="4">
        <v>19468</v>
      </c>
      <c r="F129" s="4" t="s">
        <v>17</v>
      </c>
      <c r="G129" s="6">
        <v>1.4870000000000001</v>
      </c>
      <c r="H129" s="6">
        <v>5.41</v>
      </c>
      <c r="I129" s="6">
        <v>97145</v>
      </c>
      <c r="J129" s="4" t="s">
        <v>15</v>
      </c>
      <c r="K129" s="10" t="s">
        <v>431</v>
      </c>
      <c r="L129" s="4" t="s">
        <v>128</v>
      </c>
    </row>
    <row r="130" spans="1:12" x14ac:dyDescent="0.2">
      <c r="A130" s="4" t="s">
        <v>12</v>
      </c>
      <c r="B130" s="5">
        <v>46170</v>
      </c>
      <c r="C130" s="4">
        <v>1179360</v>
      </c>
      <c r="D130" s="4" t="s">
        <v>13</v>
      </c>
      <c r="E130" s="4">
        <v>19656</v>
      </c>
      <c r="F130" s="4" t="s">
        <v>17</v>
      </c>
      <c r="G130" s="6">
        <v>1.502</v>
      </c>
      <c r="H130" s="6">
        <v>5.46</v>
      </c>
      <c r="I130" s="6">
        <v>98083</v>
      </c>
      <c r="J130" s="4" t="s">
        <v>15</v>
      </c>
      <c r="K130" s="10" t="s">
        <v>431</v>
      </c>
      <c r="L130" s="4" t="s">
        <v>129</v>
      </c>
    </row>
    <row r="131" spans="1:12" x14ac:dyDescent="0.2">
      <c r="A131" s="4" t="s">
        <v>12</v>
      </c>
      <c r="B131" s="5">
        <v>46170</v>
      </c>
      <c r="C131" s="4">
        <v>859200</v>
      </c>
      <c r="D131" s="4" t="s">
        <v>13</v>
      </c>
      <c r="E131" s="4">
        <v>14320</v>
      </c>
      <c r="F131" s="4" t="s">
        <v>17</v>
      </c>
      <c r="G131" s="6">
        <v>1.0940000000000001</v>
      </c>
      <c r="H131" s="6">
        <v>3.98</v>
      </c>
      <c r="I131" s="6">
        <v>71457</v>
      </c>
      <c r="J131" s="4" t="s">
        <v>15</v>
      </c>
      <c r="K131" s="10" t="s">
        <v>431</v>
      </c>
      <c r="L131" s="4" t="s">
        <v>130</v>
      </c>
    </row>
    <row r="132" spans="1:12" x14ac:dyDescent="0.2">
      <c r="A132" s="4" t="s">
        <v>12</v>
      </c>
      <c r="B132" s="5">
        <v>46170</v>
      </c>
      <c r="C132" s="4">
        <v>1800</v>
      </c>
      <c r="D132" s="4" t="s">
        <v>13</v>
      </c>
      <c r="E132" s="4">
        <v>60</v>
      </c>
      <c r="F132" s="4" t="s">
        <v>17</v>
      </c>
      <c r="G132" s="6">
        <v>4.0000000000000001E-3</v>
      </c>
      <c r="H132" s="6">
        <v>1.2E-2</v>
      </c>
      <c r="I132" s="6">
        <v>180</v>
      </c>
      <c r="J132" s="4" t="s">
        <v>15</v>
      </c>
      <c r="K132" s="10" t="s">
        <v>395</v>
      </c>
      <c r="L132" s="4" t="s">
        <v>131</v>
      </c>
    </row>
    <row r="133" spans="1:12" x14ac:dyDescent="0.2">
      <c r="A133" s="4" t="s">
        <v>12</v>
      </c>
      <c r="B133" s="5">
        <v>46170</v>
      </c>
      <c r="C133" s="4">
        <v>14460</v>
      </c>
      <c r="D133" s="4" t="s">
        <v>13</v>
      </c>
      <c r="E133" s="4">
        <v>241</v>
      </c>
      <c r="F133" s="4" t="s">
        <v>17</v>
      </c>
      <c r="G133" s="6">
        <v>2.8000000000000001E-2</v>
      </c>
      <c r="H133" s="6">
        <v>0.13100000000000001</v>
      </c>
      <c r="I133" s="6">
        <v>13376</v>
      </c>
      <c r="J133" s="4" t="s">
        <v>15</v>
      </c>
      <c r="K133" s="10" t="s">
        <v>432</v>
      </c>
      <c r="L133" s="4" t="s">
        <v>132</v>
      </c>
    </row>
    <row r="134" spans="1:12" x14ac:dyDescent="0.2">
      <c r="A134" s="4" t="s">
        <v>12</v>
      </c>
      <c r="B134" s="5">
        <v>46170</v>
      </c>
      <c r="C134" s="4">
        <v>1980</v>
      </c>
      <c r="D134" s="4" t="s">
        <v>13</v>
      </c>
      <c r="E134" s="4">
        <v>33</v>
      </c>
      <c r="F134" s="4" t="s">
        <v>17</v>
      </c>
      <c r="G134" s="6">
        <v>4.0000000000000001E-3</v>
      </c>
      <c r="H134" s="6">
        <v>1.7999999999999999E-2</v>
      </c>
      <c r="I134" s="6">
        <v>1832</v>
      </c>
      <c r="J134" s="4" t="s">
        <v>15</v>
      </c>
      <c r="K134" s="10" t="s">
        <v>420</v>
      </c>
      <c r="L134" s="4" t="s">
        <v>133</v>
      </c>
    </row>
    <row r="135" spans="1:12" x14ac:dyDescent="0.2">
      <c r="A135" s="4" t="s">
        <v>12</v>
      </c>
      <c r="B135" s="5">
        <v>46170</v>
      </c>
      <c r="C135" s="4">
        <v>137160</v>
      </c>
      <c r="D135" s="4" t="s">
        <v>13</v>
      </c>
      <c r="E135" s="4">
        <v>2286</v>
      </c>
      <c r="F135" s="4" t="s">
        <v>17</v>
      </c>
      <c r="G135" s="6">
        <v>0.27</v>
      </c>
      <c r="H135" s="6">
        <v>1.2410000000000001</v>
      </c>
      <c r="I135" s="6">
        <v>126873</v>
      </c>
      <c r="J135" s="4" t="s">
        <v>15</v>
      </c>
      <c r="K135" s="10" t="s">
        <v>433</v>
      </c>
      <c r="L135" s="4" t="s">
        <v>134</v>
      </c>
    </row>
    <row r="136" spans="1:12" x14ac:dyDescent="0.2">
      <c r="A136" s="4" t="s">
        <v>12</v>
      </c>
      <c r="B136" s="5">
        <v>46170</v>
      </c>
      <c r="C136" s="4">
        <v>10276</v>
      </c>
      <c r="D136" s="4" t="s">
        <v>13</v>
      </c>
      <c r="E136" s="4">
        <v>734</v>
      </c>
      <c r="F136" s="4" t="s">
        <v>17</v>
      </c>
      <c r="G136" s="6">
        <v>1.028</v>
      </c>
      <c r="H136" s="6">
        <v>0.28799999999999998</v>
      </c>
      <c r="I136" s="6">
        <v>389</v>
      </c>
      <c r="J136" s="4" t="s">
        <v>15</v>
      </c>
      <c r="K136" s="10" t="s">
        <v>434</v>
      </c>
      <c r="L136" s="4" t="s">
        <v>135</v>
      </c>
    </row>
    <row r="137" spans="1:12" x14ac:dyDescent="0.2">
      <c r="A137" s="4" t="s">
        <v>12</v>
      </c>
      <c r="B137" s="5">
        <v>46170</v>
      </c>
      <c r="C137" s="4">
        <v>111</v>
      </c>
      <c r="D137" s="4" t="s">
        <v>13</v>
      </c>
      <c r="E137" s="4">
        <v>111</v>
      </c>
      <c r="F137" s="4" t="s">
        <v>14</v>
      </c>
      <c r="G137" s="6">
        <v>1.2E-2</v>
      </c>
      <c r="H137" s="6">
        <v>0.03</v>
      </c>
      <c r="I137" s="6">
        <v>56</v>
      </c>
      <c r="J137" s="4" t="s">
        <v>15</v>
      </c>
      <c r="K137" s="10" t="s">
        <v>435</v>
      </c>
      <c r="L137" s="4" t="s">
        <v>136</v>
      </c>
    </row>
    <row r="138" spans="1:12" x14ac:dyDescent="0.2">
      <c r="A138" s="4" t="s">
        <v>12</v>
      </c>
      <c r="B138" s="5">
        <v>46170</v>
      </c>
      <c r="C138" s="4">
        <v>627800</v>
      </c>
      <c r="D138" s="4" t="s">
        <v>13</v>
      </c>
      <c r="E138" s="4">
        <v>10463</v>
      </c>
      <c r="F138" s="4" t="s">
        <v>17</v>
      </c>
      <c r="G138" s="6">
        <v>0.52300000000000002</v>
      </c>
      <c r="H138" s="6">
        <v>2.8250000000000002</v>
      </c>
      <c r="I138" s="6">
        <v>36622</v>
      </c>
      <c r="J138" s="4" t="s">
        <v>15</v>
      </c>
      <c r="K138" s="10" t="s">
        <v>436</v>
      </c>
      <c r="L138" s="4" t="s">
        <v>137</v>
      </c>
    </row>
    <row r="139" spans="1:12" x14ac:dyDescent="0.2">
      <c r="A139" s="4" t="s">
        <v>12</v>
      </c>
      <c r="B139" s="5">
        <v>46170</v>
      </c>
      <c r="C139" s="4">
        <v>393600</v>
      </c>
      <c r="D139" s="4" t="s">
        <v>13</v>
      </c>
      <c r="E139" s="4">
        <v>6560</v>
      </c>
      <c r="F139" s="4" t="s">
        <v>17</v>
      </c>
      <c r="G139" s="6">
        <v>0.32800000000000001</v>
      </c>
      <c r="H139" s="6">
        <v>1.7709999999999999</v>
      </c>
      <c r="I139" s="6">
        <v>22960</v>
      </c>
      <c r="J139" s="4" t="s">
        <v>15</v>
      </c>
      <c r="K139" s="10" t="s">
        <v>436</v>
      </c>
      <c r="L139" s="4" t="s">
        <v>137</v>
      </c>
    </row>
    <row r="140" spans="1:12" x14ac:dyDescent="0.2">
      <c r="A140" s="4" t="s">
        <v>12</v>
      </c>
      <c r="B140" s="5">
        <v>46170</v>
      </c>
      <c r="C140" s="4">
        <v>407880</v>
      </c>
      <c r="D140" s="4" t="s">
        <v>13</v>
      </c>
      <c r="E140" s="4">
        <v>6798</v>
      </c>
      <c r="F140" s="4" t="s">
        <v>17</v>
      </c>
      <c r="G140" s="6">
        <v>0.38700000000000001</v>
      </c>
      <c r="H140" s="6">
        <v>1.264</v>
      </c>
      <c r="I140" s="6">
        <v>22094</v>
      </c>
      <c r="J140" s="4" t="s">
        <v>15</v>
      </c>
      <c r="K140" s="10" t="s">
        <v>437</v>
      </c>
      <c r="L140" s="4" t="s">
        <v>138</v>
      </c>
    </row>
    <row r="141" spans="1:12" x14ac:dyDescent="0.2">
      <c r="A141" s="4" t="s">
        <v>12</v>
      </c>
      <c r="B141" s="5">
        <v>46170</v>
      </c>
      <c r="C141" s="4">
        <v>450</v>
      </c>
      <c r="D141" s="4" t="s">
        <v>13</v>
      </c>
      <c r="E141" s="4">
        <v>450</v>
      </c>
      <c r="F141" s="4" t="s">
        <v>14</v>
      </c>
      <c r="G141" s="6">
        <v>1.4E-2</v>
      </c>
      <c r="H141" s="6">
        <v>0.19700000000000001</v>
      </c>
      <c r="I141" s="6">
        <v>76</v>
      </c>
      <c r="J141" s="4" t="s">
        <v>15</v>
      </c>
      <c r="K141" s="10" t="s">
        <v>438</v>
      </c>
      <c r="L141" s="4" t="s">
        <v>139</v>
      </c>
    </row>
    <row r="142" spans="1:12" x14ac:dyDescent="0.2">
      <c r="A142" s="4" t="s">
        <v>12</v>
      </c>
      <c r="B142" s="5">
        <v>46170</v>
      </c>
      <c r="C142" s="4">
        <v>40</v>
      </c>
      <c r="D142" s="4" t="s">
        <v>13</v>
      </c>
      <c r="E142" s="4">
        <v>40</v>
      </c>
      <c r="F142" s="4" t="s">
        <v>14</v>
      </c>
      <c r="G142" s="6">
        <v>0.55000000000000004</v>
      </c>
      <c r="H142" s="6">
        <v>0.93200000000000005</v>
      </c>
      <c r="I142" s="6">
        <v>2200</v>
      </c>
      <c r="J142" s="4" t="s">
        <v>15</v>
      </c>
      <c r="K142" s="10" t="s">
        <v>439</v>
      </c>
      <c r="L142" s="4" t="s">
        <v>140</v>
      </c>
    </row>
    <row r="143" spans="1:12" x14ac:dyDescent="0.2">
      <c r="A143" s="4" t="s">
        <v>12</v>
      </c>
      <c r="B143" s="5">
        <v>46170</v>
      </c>
      <c r="C143" s="4">
        <v>18800</v>
      </c>
      <c r="D143" s="4" t="s">
        <v>13</v>
      </c>
      <c r="E143" s="4">
        <v>188</v>
      </c>
      <c r="F143" s="4" t="s">
        <v>17</v>
      </c>
      <c r="G143" s="6">
        <v>2.3E-2</v>
      </c>
      <c r="H143" s="6">
        <v>9.4E-2</v>
      </c>
      <c r="I143" s="6">
        <v>414</v>
      </c>
      <c r="J143" s="4" t="s">
        <v>15</v>
      </c>
      <c r="K143" s="10" t="s">
        <v>440</v>
      </c>
      <c r="L143" s="4" t="s">
        <v>141</v>
      </c>
    </row>
    <row r="144" spans="1:12" x14ac:dyDescent="0.2">
      <c r="A144" s="4" t="s">
        <v>12</v>
      </c>
      <c r="B144" s="5">
        <v>46170</v>
      </c>
      <c r="C144" s="4">
        <v>45000</v>
      </c>
      <c r="D144" s="4" t="s">
        <v>13</v>
      </c>
      <c r="E144" s="4">
        <v>45</v>
      </c>
      <c r="F144" s="4" t="s">
        <v>17</v>
      </c>
      <c r="G144" s="6">
        <v>2.1000000000000001E-2</v>
      </c>
      <c r="H144" s="6">
        <v>6.5000000000000002E-2</v>
      </c>
      <c r="I144" s="6">
        <v>1247</v>
      </c>
      <c r="J144" s="4" t="s">
        <v>15</v>
      </c>
      <c r="K144" s="10" t="s">
        <v>441</v>
      </c>
      <c r="L144" s="4" t="s">
        <v>142</v>
      </c>
    </row>
    <row r="145" spans="1:12" x14ac:dyDescent="0.2">
      <c r="A145" s="4" t="s">
        <v>12</v>
      </c>
      <c r="B145" s="5">
        <v>46170</v>
      </c>
      <c r="C145" s="4">
        <v>201500</v>
      </c>
      <c r="D145" s="4" t="s">
        <v>13</v>
      </c>
      <c r="E145" s="4">
        <v>403</v>
      </c>
      <c r="F145" s="4" t="s">
        <v>17</v>
      </c>
      <c r="G145" s="6">
        <v>0.28199999999999997</v>
      </c>
      <c r="H145" s="6">
        <v>1.8939999999999999</v>
      </c>
      <c r="I145" s="6">
        <v>3325</v>
      </c>
      <c r="J145" s="4" t="s">
        <v>15</v>
      </c>
      <c r="K145" s="10" t="s">
        <v>442</v>
      </c>
      <c r="L145" s="4" t="s">
        <v>143</v>
      </c>
    </row>
    <row r="146" spans="1:12" x14ac:dyDescent="0.2">
      <c r="A146" s="4" t="s">
        <v>12</v>
      </c>
      <c r="B146" s="5">
        <v>46170</v>
      </c>
      <c r="C146" s="4">
        <v>2000</v>
      </c>
      <c r="D146" s="4" t="s">
        <v>13</v>
      </c>
      <c r="E146" s="4">
        <v>4</v>
      </c>
      <c r="F146" s="4" t="s">
        <v>17</v>
      </c>
      <c r="G146" s="6">
        <v>3.0000000000000001E-3</v>
      </c>
      <c r="H146" s="6">
        <v>1.9E-2</v>
      </c>
      <c r="I146" s="6">
        <v>33</v>
      </c>
      <c r="J146" s="4" t="s">
        <v>15</v>
      </c>
      <c r="K146" s="10" t="s">
        <v>442</v>
      </c>
      <c r="L146" s="4" t="s">
        <v>143</v>
      </c>
    </row>
    <row r="147" spans="1:12" x14ac:dyDescent="0.2">
      <c r="A147" s="4" t="s">
        <v>12</v>
      </c>
      <c r="B147" s="5">
        <v>46170</v>
      </c>
      <c r="C147" s="4">
        <v>4980</v>
      </c>
      <c r="D147" s="4" t="s">
        <v>13</v>
      </c>
      <c r="E147" s="4">
        <v>9</v>
      </c>
      <c r="F147" s="4" t="s">
        <v>17</v>
      </c>
      <c r="G147" s="6">
        <v>1E-3</v>
      </c>
      <c r="H147" s="6">
        <v>7.0000000000000001E-3</v>
      </c>
      <c r="I147" s="6">
        <v>57</v>
      </c>
      <c r="J147" s="4" t="s">
        <v>15</v>
      </c>
      <c r="K147" s="10" t="s">
        <v>443</v>
      </c>
      <c r="L147" s="4" t="s">
        <v>144</v>
      </c>
    </row>
    <row r="148" spans="1:12" x14ac:dyDescent="0.2">
      <c r="A148" s="4" t="s">
        <v>12</v>
      </c>
      <c r="B148" s="5">
        <v>46170</v>
      </c>
      <c r="C148" s="4">
        <v>45</v>
      </c>
      <c r="D148" s="4" t="s">
        <v>13</v>
      </c>
      <c r="E148" s="4">
        <v>45</v>
      </c>
      <c r="F148" s="4" t="s">
        <v>14</v>
      </c>
      <c r="G148" s="6">
        <v>5.3999999999999999E-2</v>
      </c>
      <c r="H148" s="6">
        <v>0.113</v>
      </c>
      <c r="I148" s="6">
        <v>175</v>
      </c>
      <c r="J148" s="4" t="s">
        <v>15</v>
      </c>
      <c r="K148" s="10" t="s">
        <v>444</v>
      </c>
      <c r="L148" s="4" t="s">
        <v>145</v>
      </c>
    </row>
    <row r="149" spans="1:12" x14ac:dyDescent="0.2">
      <c r="A149" s="4" t="s">
        <v>12</v>
      </c>
      <c r="B149" s="5">
        <v>46170</v>
      </c>
      <c r="C149" s="4">
        <v>34</v>
      </c>
      <c r="D149" s="4" t="s">
        <v>13</v>
      </c>
      <c r="E149" s="4">
        <v>34</v>
      </c>
      <c r="F149" s="4" t="s">
        <v>14</v>
      </c>
      <c r="G149" s="6">
        <v>0.17299999999999999</v>
      </c>
      <c r="H149" s="6">
        <v>0.17299999999999999</v>
      </c>
      <c r="I149" s="6">
        <v>909</v>
      </c>
      <c r="J149" s="4" t="s">
        <v>15</v>
      </c>
      <c r="K149" s="10" t="s">
        <v>445</v>
      </c>
      <c r="L149" s="4" t="s">
        <v>146</v>
      </c>
    </row>
    <row r="150" spans="1:12" x14ac:dyDescent="0.2">
      <c r="A150" s="4" t="s">
        <v>12</v>
      </c>
      <c r="B150" s="5">
        <v>46170</v>
      </c>
      <c r="C150" s="4">
        <v>900</v>
      </c>
      <c r="D150" s="4" t="s">
        <v>13</v>
      </c>
      <c r="E150" s="4">
        <v>30</v>
      </c>
      <c r="F150" s="4" t="s">
        <v>17</v>
      </c>
      <c r="G150" s="6">
        <v>4.0000000000000001E-3</v>
      </c>
      <c r="H150" s="6">
        <v>3.0000000000000001E-3</v>
      </c>
      <c r="I150" s="6">
        <v>207</v>
      </c>
      <c r="J150" s="4" t="s">
        <v>15</v>
      </c>
      <c r="K150" s="10" t="s">
        <v>446</v>
      </c>
      <c r="L150" s="4" t="s">
        <v>147</v>
      </c>
    </row>
    <row r="151" spans="1:12" x14ac:dyDescent="0.2">
      <c r="A151" s="4" t="s">
        <v>12</v>
      </c>
      <c r="B151" s="5">
        <v>46170</v>
      </c>
      <c r="C151" s="4">
        <v>7950</v>
      </c>
      <c r="D151" s="4" t="s">
        <v>13</v>
      </c>
      <c r="E151" s="4">
        <v>265</v>
      </c>
      <c r="F151" s="4" t="s">
        <v>17</v>
      </c>
      <c r="G151" s="6">
        <v>3.2000000000000001E-2</v>
      </c>
      <c r="H151" s="6">
        <v>2.4E-2</v>
      </c>
      <c r="I151" s="6">
        <v>1831</v>
      </c>
      <c r="J151" s="4" t="s">
        <v>15</v>
      </c>
      <c r="K151" s="10" t="s">
        <v>447</v>
      </c>
      <c r="L151" s="4" t="s">
        <v>147</v>
      </c>
    </row>
    <row r="152" spans="1:12" x14ac:dyDescent="0.2">
      <c r="A152" s="4" t="s">
        <v>12</v>
      </c>
      <c r="B152" s="5">
        <v>46170</v>
      </c>
      <c r="C152" s="4">
        <v>1650</v>
      </c>
      <c r="D152" s="4" t="s">
        <v>13</v>
      </c>
      <c r="E152" s="4">
        <v>55</v>
      </c>
      <c r="F152" s="4" t="s">
        <v>17</v>
      </c>
      <c r="G152" s="6">
        <v>7.0000000000000001E-3</v>
      </c>
      <c r="H152" s="6">
        <v>5.0000000000000001E-3</v>
      </c>
      <c r="I152" s="6">
        <v>380</v>
      </c>
      <c r="J152" s="4" t="s">
        <v>15</v>
      </c>
      <c r="K152" s="10" t="s">
        <v>447</v>
      </c>
      <c r="L152" s="4" t="s">
        <v>147</v>
      </c>
    </row>
    <row r="153" spans="1:12" x14ac:dyDescent="0.2">
      <c r="A153" s="4" t="s">
        <v>12</v>
      </c>
      <c r="B153" s="5">
        <v>46170</v>
      </c>
      <c r="C153" s="4">
        <v>2340</v>
      </c>
      <c r="D153" s="4" t="s">
        <v>13</v>
      </c>
      <c r="E153" s="4">
        <v>78</v>
      </c>
      <c r="F153" s="4" t="s">
        <v>17</v>
      </c>
      <c r="G153" s="6">
        <v>8.9999999999999993E-3</v>
      </c>
      <c r="H153" s="6">
        <v>7.0000000000000001E-3</v>
      </c>
      <c r="I153" s="6">
        <v>539</v>
      </c>
      <c r="J153" s="4" t="s">
        <v>15</v>
      </c>
      <c r="K153" s="10" t="s">
        <v>447</v>
      </c>
      <c r="L153" s="4" t="s">
        <v>148</v>
      </c>
    </row>
    <row r="154" spans="1:12" x14ac:dyDescent="0.2">
      <c r="A154" s="4" t="s">
        <v>12</v>
      </c>
      <c r="B154" s="5">
        <v>46170</v>
      </c>
      <c r="C154" s="4">
        <v>4890</v>
      </c>
      <c r="D154" s="4" t="s">
        <v>13</v>
      </c>
      <c r="E154" s="4">
        <v>489</v>
      </c>
      <c r="F154" s="4" t="s">
        <v>17</v>
      </c>
      <c r="G154" s="6">
        <v>0.127</v>
      </c>
      <c r="H154" s="6">
        <v>0.223</v>
      </c>
      <c r="I154" s="6">
        <v>807</v>
      </c>
      <c r="J154" s="4" t="s">
        <v>15</v>
      </c>
      <c r="K154" s="10" t="s">
        <v>448</v>
      </c>
      <c r="L154" s="4" t="s">
        <v>149</v>
      </c>
    </row>
    <row r="155" spans="1:12" x14ac:dyDescent="0.2">
      <c r="A155" s="4" t="s">
        <v>12</v>
      </c>
      <c r="B155" s="5">
        <v>46170</v>
      </c>
      <c r="C155" s="4">
        <v>30</v>
      </c>
      <c r="D155" s="4" t="s">
        <v>13</v>
      </c>
      <c r="E155" s="4">
        <v>0</v>
      </c>
      <c r="F155" s="4" t="s">
        <v>17</v>
      </c>
      <c r="G155" s="6">
        <v>0</v>
      </c>
      <c r="H155" s="6">
        <v>0</v>
      </c>
      <c r="I155" s="6">
        <v>1</v>
      </c>
      <c r="J155" s="4" t="s">
        <v>15</v>
      </c>
      <c r="K155" s="10" t="s">
        <v>449</v>
      </c>
      <c r="L155" s="4" t="s">
        <v>150</v>
      </c>
    </row>
    <row r="156" spans="1:12" x14ac:dyDescent="0.2">
      <c r="A156" s="4" t="s">
        <v>12</v>
      </c>
      <c r="B156" s="5">
        <v>46170</v>
      </c>
      <c r="C156" s="4">
        <v>4103</v>
      </c>
      <c r="D156" s="4" t="s">
        <v>13</v>
      </c>
      <c r="E156" s="4">
        <v>4103</v>
      </c>
      <c r="F156" s="4" t="s">
        <v>98</v>
      </c>
      <c r="G156" s="6">
        <v>0.626</v>
      </c>
      <c r="H156" s="6">
        <v>1.2999999999999999E-2</v>
      </c>
      <c r="I156" s="6">
        <v>5129</v>
      </c>
      <c r="J156" s="4" t="s">
        <v>15</v>
      </c>
      <c r="K156" s="10" t="s">
        <v>450</v>
      </c>
      <c r="L156" s="4" t="s">
        <v>151</v>
      </c>
    </row>
    <row r="157" spans="1:12" x14ac:dyDescent="0.2">
      <c r="A157" s="4" t="s">
        <v>12</v>
      </c>
      <c r="B157" s="5">
        <v>46170</v>
      </c>
      <c r="C157" s="4">
        <v>1057</v>
      </c>
      <c r="D157" s="4" t="s">
        <v>13</v>
      </c>
      <c r="E157" s="4">
        <v>1057</v>
      </c>
      <c r="F157" s="4" t="s">
        <v>98</v>
      </c>
      <c r="G157" s="6">
        <v>0.127</v>
      </c>
      <c r="H157" s="6">
        <v>0.38</v>
      </c>
      <c r="I157" s="6">
        <v>1628</v>
      </c>
      <c r="J157" s="4" t="s">
        <v>15</v>
      </c>
      <c r="K157" s="10" t="s">
        <v>451</v>
      </c>
      <c r="L157" s="4" t="s">
        <v>152</v>
      </c>
    </row>
    <row r="158" spans="1:12" x14ac:dyDescent="0.2">
      <c r="A158" s="4" t="s">
        <v>12</v>
      </c>
      <c r="B158" s="5">
        <v>46170</v>
      </c>
      <c r="C158" s="4">
        <v>84370</v>
      </c>
      <c r="D158" s="4" t="s">
        <v>13</v>
      </c>
      <c r="E158" s="4">
        <v>8437</v>
      </c>
      <c r="F158" s="4" t="s">
        <v>98</v>
      </c>
      <c r="G158" s="6">
        <v>3.4000000000000002E-2</v>
      </c>
      <c r="H158" s="6">
        <v>0.10100000000000001</v>
      </c>
      <c r="I158" s="6">
        <v>541</v>
      </c>
      <c r="J158" s="4" t="s">
        <v>15</v>
      </c>
      <c r="K158" s="10" t="s">
        <v>452</v>
      </c>
      <c r="L158" s="4" t="s">
        <v>153</v>
      </c>
    </row>
    <row r="159" spans="1:12" x14ac:dyDescent="0.2">
      <c r="A159" s="4" t="s">
        <v>12</v>
      </c>
      <c r="B159" s="5">
        <v>46170</v>
      </c>
      <c r="C159" s="4">
        <v>294000</v>
      </c>
      <c r="D159" s="4" t="s">
        <v>13</v>
      </c>
      <c r="E159" s="4">
        <v>29400</v>
      </c>
      <c r="F159" s="4" t="s">
        <v>98</v>
      </c>
      <c r="G159" s="6">
        <v>0.11799999999999999</v>
      </c>
      <c r="H159" s="6">
        <v>0.35299999999999998</v>
      </c>
      <c r="I159" s="6">
        <v>1885</v>
      </c>
      <c r="J159" s="4" t="s">
        <v>15</v>
      </c>
      <c r="K159" s="10" t="s">
        <v>453</v>
      </c>
      <c r="L159" s="4" t="s">
        <v>153</v>
      </c>
    </row>
    <row r="160" spans="1:12" x14ac:dyDescent="0.2">
      <c r="A160" s="4" t="s">
        <v>12</v>
      </c>
      <c r="B160" s="5">
        <v>46170</v>
      </c>
      <c r="C160" s="4">
        <v>4100</v>
      </c>
      <c r="D160" s="4" t="s">
        <v>13</v>
      </c>
      <c r="E160" s="4">
        <v>41</v>
      </c>
      <c r="F160" s="4" t="s">
        <v>72</v>
      </c>
      <c r="G160" s="6">
        <v>9.8000000000000004E-2</v>
      </c>
      <c r="H160" s="6">
        <v>0.26900000000000002</v>
      </c>
      <c r="I160" s="6">
        <v>183</v>
      </c>
      <c r="J160" s="4" t="s">
        <v>15</v>
      </c>
      <c r="K160" s="10" t="s">
        <v>454</v>
      </c>
      <c r="L160" s="4" t="s">
        <v>154</v>
      </c>
    </row>
    <row r="161" spans="1:12" x14ac:dyDescent="0.2">
      <c r="A161" s="4" t="s">
        <v>12</v>
      </c>
      <c r="B161" s="5">
        <v>46170</v>
      </c>
      <c r="C161" s="4">
        <v>2400</v>
      </c>
      <c r="D161" s="4" t="s">
        <v>13</v>
      </c>
      <c r="E161" s="4">
        <v>24</v>
      </c>
      <c r="F161" s="4" t="s">
        <v>72</v>
      </c>
      <c r="G161" s="6">
        <v>5.8000000000000003E-2</v>
      </c>
      <c r="H161" s="6">
        <v>0.157</v>
      </c>
      <c r="I161" s="6">
        <v>107</v>
      </c>
      <c r="J161" s="4" t="s">
        <v>15</v>
      </c>
      <c r="K161" s="10" t="s">
        <v>455</v>
      </c>
      <c r="L161" s="4" t="s">
        <v>154</v>
      </c>
    </row>
    <row r="162" spans="1:12" x14ac:dyDescent="0.2">
      <c r="A162" s="4" t="s">
        <v>12</v>
      </c>
      <c r="B162" s="5">
        <v>46170</v>
      </c>
      <c r="C162" s="4">
        <v>92000</v>
      </c>
      <c r="D162" s="4" t="s">
        <v>13</v>
      </c>
      <c r="E162" s="4">
        <v>92</v>
      </c>
      <c r="F162" s="4" t="s">
        <v>17</v>
      </c>
      <c r="G162" s="6">
        <v>0.01</v>
      </c>
      <c r="H162" s="6">
        <v>0.03</v>
      </c>
      <c r="I162" s="6">
        <v>284</v>
      </c>
      <c r="J162" s="4" t="s">
        <v>15</v>
      </c>
      <c r="K162" s="10" t="s">
        <v>456</v>
      </c>
      <c r="L162" s="4" t="s">
        <v>155</v>
      </c>
    </row>
    <row r="163" spans="1:12" x14ac:dyDescent="0.2">
      <c r="A163" s="4" t="s">
        <v>12</v>
      </c>
      <c r="B163" s="5">
        <v>46170</v>
      </c>
      <c r="C163" s="4">
        <v>37400</v>
      </c>
      <c r="D163" s="4" t="s">
        <v>13</v>
      </c>
      <c r="E163" s="4">
        <v>374</v>
      </c>
      <c r="F163" s="4" t="s">
        <v>17</v>
      </c>
      <c r="G163" s="6">
        <v>5.6000000000000001E-2</v>
      </c>
      <c r="H163" s="6">
        <v>0.17699999999999999</v>
      </c>
      <c r="I163" s="6">
        <v>2203</v>
      </c>
      <c r="J163" s="4" t="s">
        <v>15</v>
      </c>
      <c r="K163" s="10" t="s">
        <v>457</v>
      </c>
      <c r="L163" s="4" t="s">
        <v>156</v>
      </c>
    </row>
    <row r="164" spans="1:12" x14ac:dyDescent="0.2">
      <c r="A164" s="4" t="s">
        <v>12</v>
      </c>
      <c r="B164" s="5">
        <v>46170</v>
      </c>
      <c r="C164" s="4">
        <v>1800</v>
      </c>
      <c r="D164" s="4" t="s">
        <v>13</v>
      </c>
      <c r="E164" s="4">
        <v>180</v>
      </c>
      <c r="F164" s="4" t="s">
        <v>17</v>
      </c>
      <c r="G164" s="6">
        <v>4.7E-2</v>
      </c>
      <c r="H164" s="6">
        <v>8.2000000000000003E-2</v>
      </c>
      <c r="I164" s="6">
        <v>329</v>
      </c>
      <c r="J164" s="4" t="s">
        <v>15</v>
      </c>
      <c r="K164" s="10" t="s">
        <v>458</v>
      </c>
      <c r="L164" s="4" t="s">
        <v>149</v>
      </c>
    </row>
    <row r="165" spans="1:12" x14ac:dyDescent="0.2">
      <c r="A165" s="4" t="s">
        <v>12</v>
      </c>
      <c r="B165" s="5">
        <v>46170</v>
      </c>
      <c r="C165" s="4">
        <v>1250</v>
      </c>
      <c r="D165" s="4" t="s">
        <v>13</v>
      </c>
      <c r="E165" s="4">
        <v>1250</v>
      </c>
      <c r="F165" s="4" t="s">
        <v>98</v>
      </c>
      <c r="G165" s="6">
        <v>8.0000000000000002E-3</v>
      </c>
      <c r="H165" s="6">
        <v>2.3E-2</v>
      </c>
      <c r="I165" s="6">
        <v>1201</v>
      </c>
      <c r="J165" s="4" t="s">
        <v>15</v>
      </c>
      <c r="K165" s="10" t="s">
        <v>459</v>
      </c>
      <c r="L165" s="4" t="s">
        <v>157</v>
      </c>
    </row>
    <row r="166" spans="1:12" x14ac:dyDescent="0.2">
      <c r="A166" s="4" t="s">
        <v>12</v>
      </c>
      <c r="B166" s="5">
        <v>46170</v>
      </c>
      <c r="C166" s="4">
        <v>73000</v>
      </c>
      <c r="D166" s="4" t="s">
        <v>13</v>
      </c>
      <c r="E166" s="4">
        <v>73</v>
      </c>
      <c r="F166" s="4" t="s">
        <v>17</v>
      </c>
      <c r="G166" s="6">
        <v>6.0999999999999999E-2</v>
      </c>
      <c r="H166" s="6">
        <v>0.10199999999999999</v>
      </c>
      <c r="I166" s="6">
        <v>1086</v>
      </c>
      <c r="J166" s="4" t="s">
        <v>15</v>
      </c>
      <c r="K166" s="10" t="s">
        <v>460</v>
      </c>
      <c r="L166" s="4" t="s">
        <v>158</v>
      </c>
    </row>
    <row r="167" spans="1:12" x14ac:dyDescent="0.2">
      <c r="A167" s="4" t="s">
        <v>12</v>
      </c>
      <c r="B167" s="5">
        <v>46170</v>
      </c>
      <c r="C167" s="4">
        <v>180000</v>
      </c>
      <c r="D167" s="4" t="s">
        <v>13</v>
      </c>
      <c r="E167" s="4">
        <v>180</v>
      </c>
      <c r="F167" s="4" t="s">
        <v>17</v>
      </c>
      <c r="G167" s="6">
        <v>8.5000000000000006E-2</v>
      </c>
      <c r="H167" s="6">
        <v>0.28000000000000003</v>
      </c>
      <c r="I167" s="6">
        <v>6138</v>
      </c>
      <c r="J167" s="4" t="s">
        <v>15</v>
      </c>
      <c r="K167" s="10" t="s">
        <v>461</v>
      </c>
      <c r="L167" s="4" t="s">
        <v>142</v>
      </c>
    </row>
    <row r="168" spans="1:12" x14ac:dyDescent="0.2">
      <c r="A168" s="4" t="s">
        <v>12</v>
      </c>
      <c r="B168" s="5">
        <v>46170</v>
      </c>
      <c r="C168" s="4">
        <v>37860</v>
      </c>
      <c r="D168" s="4" t="s">
        <v>13</v>
      </c>
      <c r="E168" s="4">
        <v>631</v>
      </c>
      <c r="F168" s="4" t="s">
        <v>17</v>
      </c>
      <c r="G168" s="6">
        <v>8.2000000000000003E-2</v>
      </c>
      <c r="H168" s="6">
        <v>0.24399999999999999</v>
      </c>
      <c r="I168" s="6">
        <v>3748</v>
      </c>
      <c r="J168" s="4" t="s">
        <v>15</v>
      </c>
      <c r="K168" s="10" t="s">
        <v>462</v>
      </c>
      <c r="L168" s="4" t="s">
        <v>159</v>
      </c>
    </row>
    <row r="169" spans="1:12" x14ac:dyDescent="0.2">
      <c r="A169" s="4" t="s">
        <v>12</v>
      </c>
      <c r="B169" s="5">
        <v>46170</v>
      </c>
      <c r="C169" s="4">
        <v>5000</v>
      </c>
      <c r="D169" s="4" t="s">
        <v>13</v>
      </c>
      <c r="E169" s="4">
        <v>500</v>
      </c>
      <c r="F169" s="4" t="s">
        <v>17</v>
      </c>
      <c r="G169" s="6">
        <v>0.13</v>
      </c>
      <c r="H169" s="6">
        <v>0.22800000000000001</v>
      </c>
      <c r="I169" s="6">
        <v>775</v>
      </c>
      <c r="J169" s="4" t="s">
        <v>15</v>
      </c>
      <c r="K169" s="10" t="s">
        <v>463</v>
      </c>
      <c r="L169" s="4" t="s">
        <v>160</v>
      </c>
    </row>
    <row r="170" spans="1:12" x14ac:dyDescent="0.2">
      <c r="A170" s="4" t="s">
        <v>12</v>
      </c>
      <c r="B170" s="5">
        <v>46170</v>
      </c>
      <c r="C170" s="4">
        <v>90720</v>
      </c>
      <c r="D170" s="4" t="s">
        <v>13</v>
      </c>
      <c r="E170" s="4">
        <v>1008</v>
      </c>
      <c r="F170" s="4" t="s">
        <v>17</v>
      </c>
      <c r="G170" s="6">
        <v>0.115</v>
      </c>
      <c r="H170" s="6">
        <v>0.251</v>
      </c>
      <c r="I170" s="6">
        <v>9374</v>
      </c>
      <c r="J170" s="4" t="s">
        <v>15</v>
      </c>
      <c r="K170" s="10" t="s">
        <v>464</v>
      </c>
      <c r="L170" s="4" t="s">
        <v>161</v>
      </c>
    </row>
    <row r="171" spans="1:12" x14ac:dyDescent="0.2">
      <c r="A171" s="4" t="s">
        <v>12</v>
      </c>
      <c r="B171" s="5">
        <v>46170</v>
      </c>
      <c r="C171" s="4">
        <v>1765</v>
      </c>
      <c r="D171" s="4" t="s">
        <v>13</v>
      </c>
      <c r="E171" s="4">
        <v>1765</v>
      </c>
      <c r="F171" s="4" t="s">
        <v>98</v>
      </c>
      <c r="G171" s="6">
        <v>0.251</v>
      </c>
      <c r="H171" s="6">
        <v>0.72</v>
      </c>
      <c r="I171" s="6">
        <v>3671</v>
      </c>
      <c r="J171" s="4" t="s">
        <v>15</v>
      </c>
      <c r="K171" s="10" t="s">
        <v>465</v>
      </c>
      <c r="L171" s="4" t="s">
        <v>162</v>
      </c>
    </row>
    <row r="172" spans="1:12" x14ac:dyDescent="0.2">
      <c r="A172" s="4" t="s">
        <v>12</v>
      </c>
      <c r="B172" s="5">
        <v>46170</v>
      </c>
      <c r="C172" s="4">
        <v>1000</v>
      </c>
      <c r="D172" s="4" t="s">
        <v>13</v>
      </c>
      <c r="E172" s="4">
        <v>1</v>
      </c>
      <c r="F172" s="4" t="s">
        <v>17</v>
      </c>
      <c r="G172" s="6">
        <v>1E-3</v>
      </c>
      <c r="H172" s="6">
        <v>2E-3</v>
      </c>
      <c r="I172" s="6">
        <v>9</v>
      </c>
      <c r="J172" s="4" t="s">
        <v>15</v>
      </c>
      <c r="K172" s="10" t="s">
        <v>466</v>
      </c>
      <c r="L172" s="4" t="s">
        <v>163</v>
      </c>
    </row>
    <row r="173" spans="1:12" x14ac:dyDescent="0.2">
      <c r="A173" s="4" t="s">
        <v>12</v>
      </c>
      <c r="B173" s="5">
        <v>46170</v>
      </c>
      <c r="C173" s="4">
        <v>20</v>
      </c>
      <c r="D173" s="4" t="s">
        <v>13</v>
      </c>
      <c r="E173" s="4">
        <v>20</v>
      </c>
      <c r="F173" s="4" t="s">
        <v>17</v>
      </c>
      <c r="G173" s="6">
        <v>3.0000000000000001E-3</v>
      </c>
      <c r="H173" s="6">
        <v>0</v>
      </c>
      <c r="I173" s="6">
        <v>25</v>
      </c>
      <c r="J173" s="4" t="s">
        <v>15</v>
      </c>
      <c r="K173" s="10" t="s">
        <v>450</v>
      </c>
      <c r="L173" s="4" t="s">
        <v>164</v>
      </c>
    </row>
    <row r="174" spans="1:12" x14ac:dyDescent="0.2">
      <c r="A174" s="4" t="s">
        <v>12</v>
      </c>
      <c r="B174" s="5">
        <v>46170</v>
      </c>
      <c r="C174" s="4">
        <v>2</v>
      </c>
      <c r="D174" s="4" t="s">
        <v>13</v>
      </c>
      <c r="E174" s="4">
        <v>0</v>
      </c>
      <c r="F174" s="4" t="s">
        <v>17</v>
      </c>
      <c r="G174" s="6">
        <v>1E-3</v>
      </c>
      <c r="H174" s="6">
        <v>2E-3</v>
      </c>
      <c r="I174" s="6">
        <v>0</v>
      </c>
      <c r="J174" s="4" t="s">
        <v>15</v>
      </c>
      <c r="K174" s="10" t="s">
        <v>467</v>
      </c>
      <c r="L174" s="4" t="s">
        <v>165</v>
      </c>
    </row>
    <row r="175" spans="1:12" x14ac:dyDescent="0.2">
      <c r="A175" s="4" t="s">
        <v>12</v>
      </c>
      <c r="B175" s="5">
        <v>46170</v>
      </c>
      <c r="C175" s="4">
        <v>810</v>
      </c>
      <c r="D175" s="4" t="s">
        <v>13</v>
      </c>
      <c r="E175" s="4">
        <v>40</v>
      </c>
      <c r="F175" s="4" t="s">
        <v>17</v>
      </c>
      <c r="G175" s="6">
        <v>0.47599999999999998</v>
      </c>
      <c r="H175" s="6">
        <v>0.82599999999999996</v>
      </c>
      <c r="I175" s="6">
        <v>178</v>
      </c>
      <c r="J175" s="4" t="s">
        <v>15</v>
      </c>
      <c r="K175" s="10" t="s">
        <v>467</v>
      </c>
      <c r="L175" s="4" t="s">
        <v>165</v>
      </c>
    </row>
    <row r="176" spans="1:12" x14ac:dyDescent="0.2">
      <c r="A176" s="4" t="s">
        <v>12</v>
      </c>
      <c r="B176" s="5">
        <v>46170</v>
      </c>
      <c r="C176" s="4">
        <v>4880</v>
      </c>
      <c r="D176" s="4" t="s">
        <v>13</v>
      </c>
      <c r="E176" s="4">
        <v>244</v>
      </c>
      <c r="F176" s="4" t="s">
        <v>17</v>
      </c>
      <c r="G176" s="6">
        <v>2.867</v>
      </c>
      <c r="H176" s="6">
        <v>5.3680000000000003</v>
      </c>
      <c r="I176" s="6">
        <v>1074</v>
      </c>
      <c r="J176" s="4" t="s">
        <v>15</v>
      </c>
      <c r="K176" s="10" t="s">
        <v>467</v>
      </c>
      <c r="L176" s="4" t="s">
        <v>165</v>
      </c>
    </row>
    <row r="177" spans="1:12" x14ac:dyDescent="0.2">
      <c r="A177" s="4" t="s">
        <v>12</v>
      </c>
      <c r="B177" s="5">
        <v>46170</v>
      </c>
      <c r="C177" s="4">
        <v>535</v>
      </c>
      <c r="D177" s="4" t="s">
        <v>13</v>
      </c>
      <c r="E177" s="4">
        <v>535</v>
      </c>
      <c r="F177" s="4" t="s">
        <v>14</v>
      </c>
      <c r="G177" s="6">
        <v>0.27800000000000002</v>
      </c>
      <c r="H177" s="6">
        <v>1.5409999999999999</v>
      </c>
      <c r="I177" s="6">
        <v>915</v>
      </c>
      <c r="J177" s="4" t="s">
        <v>15</v>
      </c>
      <c r="K177" s="10" t="s">
        <v>367</v>
      </c>
      <c r="L177" s="4" t="s">
        <v>16</v>
      </c>
    </row>
    <row r="178" spans="1:12" x14ac:dyDescent="0.2">
      <c r="A178" s="4" t="s">
        <v>12</v>
      </c>
      <c r="B178" s="5">
        <v>46170</v>
      </c>
      <c r="C178" s="4">
        <v>2740</v>
      </c>
      <c r="D178" s="4" t="s">
        <v>13</v>
      </c>
      <c r="E178" s="4">
        <v>91</v>
      </c>
      <c r="F178" s="4" t="s">
        <v>17</v>
      </c>
      <c r="G178" s="6">
        <v>5.0000000000000001E-3</v>
      </c>
      <c r="H178" s="6">
        <v>3.6999999999999998E-2</v>
      </c>
      <c r="I178" s="6">
        <v>247</v>
      </c>
      <c r="J178" s="4" t="s">
        <v>15</v>
      </c>
      <c r="K178" s="10" t="s">
        <v>468</v>
      </c>
      <c r="L178" s="4" t="s">
        <v>166</v>
      </c>
    </row>
    <row r="179" spans="1:12" x14ac:dyDescent="0.2">
      <c r="A179" s="4" t="s">
        <v>12</v>
      </c>
      <c r="B179" s="5">
        <v>46170</v>
      </c>
      <c r="C179" s="4">
        <v>242880</v>
      </c>
      <c r="D179" s="4" t="s">
        <v>13</v>
      </c>
      <c r="E179" s="4">
        <v>8096</v>
      </c>
      <c r="F179" s="4" t="s">
        <v>17</v>
      </c>
      <c r="G179" s="6">
        <v>0.42099999999999999</v>
      </c>
      <c r="H179" s="6">
        <v>3.238</v>
      </c>
      <c r="I179" s="6">
        <v>21859</v>
      </c>
      <c r="J179" s="4" t="s">
        <v>15</v>
      </c>
      <c r="K179" s="10" t="s">
        <v>468</v>
      </c>
      <c r="L179" s="4" t="s">
        <v>166</v>
      </c>
    </row>
    <row r="180" spans="1:12" x14ac:dyDescent="0.2">
      <c r="A180" s="4" t="s">
        <v>12</v>
      </c>
      <c r="B180" s="5">
        <v>46170</v>
      </c>
      <c r="C180" s="4">
        <v>499200</v>
      </c>
      <c r="D180" s="4" t="s">
        <v>13</v>
      </c>
      <c r="E180" s="4">
        <v>16640</v>
      </c>
      <c r="F180" s="4" t="s">
        <v>17</v>
      </c>
      <c r="G180" s="6">
        <v>0.86499999999999999</v>
      </c>
      <c r="H180" s="6">
        <v>6.6559999999999997</v>
      </c>
      <c r="I180" s="6">
        <v>44928</v>
      </c>
      <c r="J180" s="4" t="s">
        <v>15</v>
      </c>
      <c r="K180" s="10" t="s">
        <v>468</v>
      </c>
      <c r="L180" s="4" t="s">
        <v>166</v>
      </c>
    </row>
    <row r="181" spans="1:12" x14ac:dyDescent="0.2">
      <c r="A181" s="4" t="s">
        <v>12</v>
      </c>
      <c r="B181" s="5">
        <v>46170</v>
      </c>
      <c r="C181" s="4">
        <v>141600</v>
      </c>
      <c r="D181" s="4" t="s">
        <v>13</v>
      </c>
      <c r="E181" s="4">
        <v>4720</v>
      </c>
      <c r="F181" s="4" t="s">
        <v>17</v>
      </c>
      <c r="G181" s="6">
        <v>0.245</v>
      </c>
      <c r="H181" s="6">
        <v>1.8879999999999999</v>
      </c>
      <c r="I181" s="6">
        <v>12744</v>
      </c>
      <c r="J181" s="4" t="s">
        <v>15</v>
      </c>
      <c r="K181" s="10" t="s">
        <v>468</v>
      </c>
      <c r="L181" s="4" t="s">
        <v>166</v>
      </c>
    </row>
    <row r="182" spans="1:12" x14ac:dyDescent="0.2">
      <c r="A182" s="4" t="s">
        <v>12</v>
      </c>
      <c r="B182" s="5">
        <v>46170</v>
      </c>
      <c r="C182" s="4">
        <v>1395</v>
      </c>
      <c r="D182" s="4" t="s">
        <v>13</v>
      </c>
      <c r="E182" s="4">
        <v>1395</v>
      </c>
      <c r="F182" s="4" t="s">
        <v>14</v>
      </c>
      <c r="G182" s="6">
        <v>1.2999999999999999E-2</v>
      </c>
      <c r="H182" s="6">
        <v>0.13500000000000001</v>
      </c>
      <c r="I182" s="6">
        <v>117</v>
      </c>
      <c r="J182" s="4" t="s">
        <v>15</v>
      </c>
      <c r="K182" s="10" t="s">
        <v>469</v>
      </c>
      <c r="L182" s="4" t="s">
        <v>167</v>
      </c>
    </row>
    <row r="183" spans="1:12" x14ac:dyDescent="0.2">
      <c r="A183" s="4" t="s">
        <v>12</v>
      </c>
      <c r="B183" s="5">
        <v>46170</v>
      </c>
      <c r="C183" s="4">
        <v>29715</v>
      </c>
      <c r="D183" s="4" t="s">
        <v>13</v>
      </c>
      <c r="E183" s="4">
        <v>29715</v>
      </c>
      <c r="F183" s="4" t="s">
        <v>14</v>
      </c>
      <c r="G183" s="6">
        <v>0.26400000000000001</v>
      </c>
      <c r="H183" s="6">
        <v>2.867</v>
      </c>
      <c r="I183" s="6">
        <v>2496</v>
      </c>
      <c r="J183" s="4" t="s">
        <v>15</v>
      </c>
      <c r="K183" s="10" t="s">
        <v>470</v>
      </c>
      <c r="L183" s="4" t="s">
        <v>168</v>
      </c>
    </row>
    <row r="184" spans="1:12" x14ac:dyDescent="0.2">
      <c r="A184" s="4" t="s">
        <v>12</v>
      </c>
      <c r="B184" s="5">
        <v>46170</v>
      </c>
      <c r="C184" s="4">
        <v>667</v>
      </c>
      <c r="D184" s="4" t="s">
        <v>169</v>
      </c>
      <c r="E184" s="4">
        <v>667</v>
      </c>
      <c r="F184" s="4" t="s">
        <v>14</v>
      </c>
      <c r="G184" s="6">
        <v>0.8</v>
      </c>
      <c r="H184" s="6">
        <v>1.6679999999999999</v>
      </c>
      <c r="I184" s="6">
        <v>2101</v>
      </c>
      <c r="J184" s="4" t="s">
        <v>15</v>
      </c>
      <c r="K184" s="10" t="s">
        <v>170</v>
      </c>
      <c r="L184" s="4" t="s">
        <v>171</v>
      </c>
    </row>
    <row r="185" spans="1:12" x14ac:dyDescent="0.2">
      <c r="A185" s="4" t="s">
        <v>12</v>
      </c>
      <c r="B185" s="5">
        <v>46170</v>
      </c>
      <c r="C185" s="4">
        <v>221</v>
      </c>
      <c r="D185" s="4" t="s">
        <v>169</v>
      </c>
      <c r="E185" s="4">
        <v>44</v>
      </c>
      <c r="F185" s="4" t="s">
        <v>172</v>
      </c>
      <c r="G185" s="6">
        <v>5.2999999999999999E-2</v>
      </c>
      <c r="H185" s="6">
        <v>0.111</v>
      </c>
      <c r="I185" s="6">
        <v>672</v>
      </c>
      <c r="J185" s="4" t="s">
        <v>15</v>
      </c>
      <c r="K185" s="10" t="s">
        <v>173</v>
      </c>
      <c r="L185" s="4" t="s">
        <v>174</v>
      </c>
    </row>
    <row r="186" spans="1:12" x14ac:dyDescent="0.2">
      <c r="A186" s="4" t="s">
        <v>12</v>
      </c>
      <c r="B186" s="5">
        <v>46170</v>
      </c>
      <c r="C186" s="4">
        <v>300</v>
      </c>
      <c r="D186" s="4" t="s">
        <v>13</v>
      </c>
      <c r="E186" s="4">
        <v>3</v>
      </c>
      <c r="F186" s="4" t="s">
        <v>17</v>
      </c>
      <c r="G186" s="6">
        <v>0</v>
      </c>
      <c r="H186" s="6">
        <v>0.03</v>
      </c>
      <c r="I186" s="6">
        <v>3</v>
      </c>
      <c r="J186" s="4" t="s">
        <v>15</v>
      </c>
      <c r="K186" s="10" t="s">
        <v>471</v>
      </c>
      <c r="L186" s="4" t="s">
        <v>175</v>
      </c>
    </row>
    <row r="187" spans="1:12" x14ac:dyDescent="0.2">
      <c r="A187" s="4" t="s">
        <v>12</v>
      </c>
      <c r="B187" s="5">
        <v>46170</v>
      </c>
      <c r="C187" s="4">
        <v>24025</v>
      </c>
      <c r="D187" s="4" t="s">
        <v>13</v>
      </c>
      <c r="E187" s="4">
        <v>24025</v>
      </c>
      <c r="F187" s="4" t="s">
        <v>14</v>
      </c>
      <c r="G187" s="6">
        <v>0.84099999999999997</v>
      </c>
      <c r="H187" s="6">
        <v>7.1109999999999998</v>
      </c>
      <c r="I187" s="6">
        <v>3364</v>
      </c>
      <c r="J187" s="4" t="s">
        <v>15</v>
      </c>
      <c r="K187" s="10" t="s">
        <v>472</v>
      </c>
      <c r="L187" s="4" t="s">
        <v>176</v>
      </c>
    </row>
    <row r="188" spans="1:12" x14ac:dyDescent="0.2">
      <c r="A188" s="4" t="s">
        <v>12</v>
      </c>
      <c r="B188" s="5">
        <v>46170</v>
      </c>
      <c r="C188" s="4">
        <v>47330</v>
      </c>
      <c r="D188" s="4" t="s">
        <v>13</v>
      </c>
      <c r="E188" s="4">
        <v>47330</v>
      </c>
      <c r="F188" s="4" t="s">
        <v>14</v>
      </c>
      <c r="G188" s="6">
        <v>0.44</v>
      </c>
      <c r="H188" s="6">
        <v>4.5670000000000002</v>
      </c>
      <c r="I188" s="6">
        <v>3976</v>
      </c>
      <c r="J188" s="4" t="s">
        <v>15</v>
      </c>
      <c r="K188" s="10" t="s">
        <v>473</v>
      </c>
      <c r="L188" s="4" t="s">
        <v>177</v>
      </c>
    </row>
    <row r="189" spans="1:12" x14ac:dyDescent="0.2">
      <c r="A189" s="4" t="s">
        <v>12</v>
      </c>
      <c r="B189" s="5">
        <v>46170</v>
      </c>
      <c r="C189" s="4">
        <v>33280</v>
      </c>
      <c r="D189" s="4" t="s">
        <v>13</v>
      </c>
      <c r="E189" s="4">
        <v>33280</v>
      </c>
      <c r="F189" s="4" t="s">
        <v>14</v>
      </c>
      <c r="G189" s="6">
        <v>0.309</v>
      </c>
      <c r="H189" s="6">
        <v>3.2120000000000002</v>
      </c>
      <c r="I189" s="6">
        <v>2796</v>
      </c>
      <c r="J189" s="4" t="s">
        <v>15</v>
      </c>
      <c r="K189" s="10" t="s">
        <v>469</v>
      </c>
      <c r="L189" s="4" t="s">
        <v>178</v>
      </c>
    </row>
    <row r="190" spans="1:12" x14ac:dyDescent="0.2">
      <c r="A190" s="4" t="s">
        <v>12</v>
      </c>
      <c r="B190" s="5">
        <v>46170</v>
      </c>
      <c r="C190" s="4">
        <v>2000</v>
      </c>
      <c r="D190" s="4" t="s">
        <v>13</v>
      </c>
      <c r="E190" s="4">
        <v>2000</v>
      </c>
      <c r="F190" s="4" t="s">
        <v>14</v>
      </c>
      <c r="G190" s="6">
        <v>1.7999999999999999E-2</v>
      </c>
      <c r="H190" s="6">
        <v>0.193</v>
      </c>
      <c r="I190" s="6">
        <v>168</v>
      </c>
      <c r="J190" s="4" t="s">
        <v>15</v>
      </c>
      <c r="K190" s="10" t="s">
        <v>470</v>
      </c>
      <c r="L190" s="4" t="s">
        <v>179</v>
      </c>
    </row>
    <row r="191" spans="1:12" x14ac:dyDescent="0.2">
      <c r="A191" s="4" t="s">
        <v>12</v>
      </c>
      <c r="B191" s="5">
        <v>46170</v>
      </c>
      <c r="C191" s="4">
        <v>66022</v>
      </c>
      <c r="D191" s="4" t="s">
        <v>13</v>
      </c>
      <c r="E191" s="4">
        <v>660</v>
      </c>
      <c r="F191" s="4" t="s">
        <v>17</v>
      </c>
      <c r="G191" s="6">
        <v>0.64900000000000002</v>
      </c>
      <c r="H191" s="6">
        <v>5.2889999999999997</v>
      </c>
      <c r="I191" s="6">
        <v>2258</v>
      </c>
      <c r="J191" s="4" t="s">
        <v>15</v>
      </c>
      <c r="K191" s="10" t="s">
        <v>474</v>
      </c>
      <c r="L191" s="4" t="s">
        <v>180</v>
      </c>
    </row>
    <row r="192" spans="1:12" x14ac:dyDescent="0.2">
      <c r="A192" s="4" t="s">
        <v>12</v>
      </c>
      <c r="B192" s="5">
        <v>46170</v>
      </c>
      <c r="C192" s="4">
        <v>15750</v>
      </c>
      <c r="D192" s="4" t="s">
        <v>13</v>
      </c>
      <c r="E192" s="4">
        <v>315</v>
      </c>
      <c r="F192" s="4" t="s">
        <v>17</v>
      </c>
      <c r="G192" s="6">
        <v>8.1000000000000003E-2</v>
      </c>
      <c r="H192" s="6">
        <v>4.4999999999999998E-2</v>
      </c>
      <c r="I192" s="6">
        <v>302</v>
      </c>
      <c r="J192" s="4" t="s">
        <v>15</v>
      </c>
      <c r="K192" s="10" t="s">
        <v>475</v>
      </c>
      <c r="L192" s="4" t="s">
        <v>181</v>
      </c>
    </row>
    <row r="193" spans="1:12" x14ac:dyDescent="0.2">
      <c r="A193" s="4" t="s">
        <v>12</v>
      </c>
      <c r="B193" s="5">
        <v>46170</v>
      </c>
      <c r="C193" s="4">
        <v>70</v>
      </c>
      <c r="D193" s="4" t="s">
        <v>13</v>
      </c>
      <c r="E193" s="4">
        <v>70</v>
      </c>
      <c r="F193" s="4" t="s">
        <v>14</v>
      </c>
      <c r="G193" s="6">
        <v>1.2999999999999999E-2</v>
      </c>
      <c r="H193" s="6">
        <v>7.2999999999999995E-2</v>
      </c>
      <c r="I193" s="6">
        <v>429</v>
      </c>
      <c r="J193" s="4" t="s">
        <v>15</v>
      </c>
      <c r="K193" s="10" t="s">
        <v>476</v>
      </c>
      <c r="L193" s="4" t="s">
        <v>182</v>
      </c>
    </row>
    <row r="194" spans="1:12" x14ac:dyDescent="0.2">
      <c r="A194" s="4" t="s">
        <v>12</v>
      </c>
      <c r="B194" s="5">
        <v>46170</v>
      </c>
      <c r="C194" s="4">
        <v>30</v>
      </c>
      <c r="D194" s="4" t="s">
        <v>13</v>
      </c>
      <c r="E194" s="4">
        <v>1</v>
      </c>
      <c r="F194" s="4" t="s">
        <v>72</v>
      </c>
      <c r="G194" s="6">
        <v>1E-3</v>
      </c>
      <c r="H194" s="6">
        <v>8.9999999999999993E-3</v>
      </c>
      <c r="I194" s="6">
        <v>26</v>
      </c>
      <c r="J194" s="4" t="s">
        <v>15</v>
      </c>
      <c r="K194" s="10" t="s">
        <v>477</v>
      </c>
      <c r="L194" s="4" t="s">
        <v>183</v>
      </c>
    </row>
    <row r="195" spans="1:12" x14ac:dyDescent="0.2">
      <c r="A195" s="4" t="s">
        <v>12</v>
      </c>
      <c r="B195" s="5">
        <v>46170</v>
      </c>
      <c r="C195" s="4">
        <v>189125</v>
      </c>
      <c r="D195" s="4" t="s">
        <v>13</v>
      </c>
      <c r="E195" s="4">
        <v>7565</v>
      </c>
      <c r="F195" s="4" t="s">
        <v>17</v>
      </c>
      <c r="G195" s="6">
        <v>2.4209999999999998</v>
      </c>
      <c r="H195" s="6">
        <v>15.13</v>
      </c>
      <c r="I195" s="6">
        <v>41608</v>
      </c>
      <c r="J195" s="4" t="s">
        <v>15</v>
      </c>
      <c r="K195" s="10" t="s">
        <v>478</v>
      </c>
      <c r="L195" s="4" t="s">
        <v>184</v>
      </c>
    </row>
    <row r="196" spans="1:12" x14ac:dyDescent="0.2">
      <c r="A196" s="4" t="s">
        <v>12</v>
      </c>
      <c r="B196" s="5">
        <v>46170</v>
      </c>
      <c r="C196" s="4">
        <v>486500</v>
      </c>
      <c r="D196" s="4" t="s">
        <v>13</v>
      </c>
      <c r="E196" s="4">
        <v>4865</v>
      </c>
      <c r="F196" s="4" t="s">
        <v>72</v>
      </c>
      <c r="G196" s="6">
        <v>0.42699999999999999</v>
      </c>
      <c r="H196" s="6">
        <v>1.5049999999999999</v>
      </c>
      <c r="I196" s="6">
        <v>39407</v>
      </c>
      <c r="J196" s="4" t="s">
        <v>15</v>
      </c>
      <c r="K196" s="10" t="s">
        <v>479</v>
      </c>
      <c r="L196" s="4" t="s">
        <v>166</v>
      </c>
    </row>
    <row r="197" spans="1:12" x14ac:dyDescent="0.2">
      <c r="A197" s="4" t="s">
        <v>12</v>
      </c>
      <c r="B197" s="5">
        <v>46170</v>
      </c>
      <c r="C197" s="4">
        <v>109200</v>
      </c>
      <c r="D197" s="4" t="s">
        <v>13</v>
      </c>
      <c r="E197" s="4">
        <v>1092</v>
      </c>
      <c r="F197" s="4" t="s">
        <v>17</v>
      </c>
      <c r="G197" s="6">
        <v>9.6000000000000002E-2</v>
      </c>
      <c r="H197" s="6">
        <v>0.33800000000000002</v>
      </c>
      <c r="I197" s="6">
        <v>8845</v>
      </c>
      <c r="J197" s="4" t="s">
        <v>15</v>
      </c>
      <c r="K197" s="10" t="s">
        <v>479</v>
      </c>
      <c r="L197" s="4" t="s">
        <v>166</v>
      </c>
    </row>
    <row r="198" spans="1:12" x14ac:dyDescent="0.2">
      <c r="A198" s="4" t="s">
        <v>12</v>
      </c>
      <c r="B198" s="5">
        <v>46170</v>
      </c>
      <c r="C198" s="4">
        <v>107580</v>
      </c>
      <c r="D198" s="4" t="s">
        <v>13</v>
      </c>
      <c r="E198" s="4">
        <v>3586</v>
      </c>
      <c r="F198" s="4" t="s">
        <v>17</v>
      </c>
      <c r="G198" s="6">
        <v>0.92200000000000004</v>
      </c>
      <c r="H198" s="6">
        <v>4.8289999999999997</v>
      </c>
      <c r="I198" s="6">
        <v>30122</v>
      </c>
      <c r="J198" s="4" t="s">
        <v>15</v>
      </c>
      <c r="K198" s="10" t="s">
        <v>480</v>
      </c>
      <c r="L198" s="4" t="s">
        <v>185</v>
      </c>
    </row>
    <row r="199" spans="1:12" x14ac:dyDescent="0.2">
      <c r="A199" s="4" t="s">
        <v>12</v>
      </c>
      <c r="B199" s="5">
        <v>46170</v>
      </c>
      <c r="C199" s="4">
        <v>31500</v>
      </c>
      <c r="D199" s="4" t="s">
        <v>13</v>
      </c>
      <c r="E199" s="4">
        <v>1050</v>
      </c>
      <c r="F199" s="4" t="s">
        <v>17</v>
      </c>
      <c r="G199" s="6">
        <v>0.14499999999999999</v>
      </c>
      <c r="H199" s="6">
        <v>0.92400000000000004</v>
      </c>
      <c r="I199" s="6">
        <v>9450</v>
      </c>
      <c r="J199" s="4" t="s">
        <v>15</v>
      </c>
      <c r="K199" s="10" t="s">
        <v>481</v>
      </c>
      <c r="L199" s="4" t="s">
        <v>186</v>
      </c>
    </row>
    <row r="200" spans="1:12" x14ac:dyDescent="0.2">
      <c r="A200" s="4" t="s">
        <v>12</v>
      </c>
      <c r="B200" s="5">
        <v>46170</v>
      </c>
      <c r="C200" s="4">
        <v>57500</v>
      </c>
      <c r="D200" s="4" t="s">
        <v>13</v>
      </c>
      <c r="E200" s="4">
        <v>2300</v>
      </c>
      <c r="F200" s="4" t="s">
        <v>17</v>
      </c>
      <c r="G200" s="6">
        <v>0.69</v>
      </c>
      <c r="H200" s="6">
        <v>2.09</v>
      </c>
      <c r="I200" s="6">
        <v>9775</v>
      </c>
      <c r="J200" s="4" t="s">
        <v>15</v>
      </c>
      <c r="K200" s="10" t="s">
        <v>478</v>
      </c>
      <c r="L200" s="4" t="s">
        <v>187</v>
      </c>
    </row>
    <row r="201" spans="1:12" x14ac:dyDescent="0.2">
      <c r="A201" s="4" t="s">
        <v>12</v>
      </c>
      <c r="B201" s="5">
        <v>46170</v>
      </c>
      <c r="C201" s="4">
        <v>201</v>
      </c>
      <c r="D201" s="4" t="s">
        <v>13</v>
      </c>
      <c r="E201" s="4">
        <v>201</v>
      </c>
      <c r="F201" s="4" t="s">
        <v>14</v>
      </c>
      <c r="G201" s="6">
        <v>2E-3</v>
      </c>
      <c r="H201" s="6">
        <v>1.9E-2</v>
      </c>
      <c r="I201" s="6">
        <v>17</v>
      </c>
      <c r="J201" s="4" t="s">
        <v>15</v>
      </c>
      <c r="K201" s="10" t="s">
        <v>470</v>
      </c>
      <c r="L201" s="4" t="s">
        <v>188</v>
      </c>
    </row>
    <row r="202" spans="1:12" x14ac:dyDescent="0.2">
      <c r="A202" s="4" t="s">
        <v>12</v>
      </c>
      <c r="B202" s="5">
        <v>46170</v>
      </c>
      <c r="C202" s="4">
        <v>1670</v>
      </c>
      <c r="D202" s="4" t="s">
        <v>13</v>
      </c>
      <c r="E202" s="4">
        <v>1670</v>
      </c>
      <c r="F202" s="4" t="s">
        <v>14</v>
      </c>
      <c r="G202" s="6">
        <v>3.0000000000000001E-3</v>
      </c>
      <c r="H202" s="6">
        <v>2.1000000000000001E-2</v>
      </c>
      <c r="I202" s="6">
        <v>144</v>
      </c>
      <c r="J202" s="4" t="s">
        <v>15</v>
      </c>
      <c r="K202" s="10" t="s">
        <v>468</v>
      </c>
      <c r="L202" s="4" t="s">
        <v>189</v>
      </c>
    </row>
    <row r="203" spans="1:12" x14ac:dyDescent="0.2">
      <c r="A203" s="4" t="s">
        <v>12</v>
      </c>
      <c r="B203" s="5">
        <v>46170</v>
      </c>
      <c r="C203" s="4">
        <v>210</v>
      </c>
      <c r="D203" s="4" t="s">
        <v>13</v>
      </c>
      <c r="E203" s="4">
        <v>7</v>
      </c>
      <c r="F203" s="4" t="s">
        <v>17</v>
      </c>
      <c r="G203" s="6">
        <v>0</v>
      </c>
      <c r="H203" s="6">
        <v>3.0000000000000001E-3</v>
      </c>
      <c r="I203" s="6">
        <v>19</v>
      </c>
      <c r="J203" s="4" t="s">
        <v>15</v>
      </c>
      <c r="K203" s="10" t="s">
        <v>468</v>
      </c>
      <c r="L203" s="4" t="s">
        <v>190</v>
      </c>
    </row>
    <row r="204" spans="1:12" x14ac:dyDescent="0.2">
      <c r="A204" s="4" t="s">
        <v>12</v>
      </c>
      <c r="B204" s="5">
        <v>46170</v>
      </c>
      <c r="C204" s="4">
        <v>4980</v>
      </c>
      <c r="D204" s="4" t="s">
        <v>13</v>
      </c>
      <c r="E204" s="4">
        <v>166</v>
      </c>
      <c r="F204" s="4" t="s">
        <v>17</v>
      </c>
      <c r="G204" s="6">
        <v>3.1E-2</v>
      </c>
      <c r="H204" s="6">
        <v>0.14599999999999999</v>
      </c>
      <c r="I204" s="6">
        <v>2241</v>
      </c>
      <c r="J204" s="4" t="s">
        <v>15</v>
      </c>
      <c r="K204" s="10" t="s">
        <v>482</v>
      </c>
      <c r="L204" s="4" t="s">
        <v>191</v>
      </c>
    </row>
    <row r="205" spans="1:12" x14ac:dyDescent="0.2">
      <c r="A205" s="4" t="s">
        <v>12</v>
      </c>
      <c r="B205" s="5">
        <v>46170</v>
      </c>
      <c r="C205" s="4">
        <v>94500</v>
      </c>
      <c r="D205" s="4" t="s">
        <v>13</v>
      </c>
      <c r="E205" s="4">
        <v>3150</v>
      </c>
      <c r="F205" s="4" t="s">
        <v>17</v>
      </c>
      <c r="G205" s="6">
        <v>0.58799999999999997</v>
      </c>
      <c r="H205" s="6">
        <v>2.7719999999999998</v>
      </c>
      <c r="I205" s="6">
        <v>42525</v>
      </c>
      <c r="J205" s="4" t="s">
        <v>15</v>
      </c>
      <c r="K205" s="10" t="s">
        <v>482</v>
      </c>
      <c r="L205" s="4" t="s">
        <v>192</v>
      </c>
    </row>
    <row r="206" spans="1:12" x14ac:dyDescent="0.2">
      <c r="A206" s="4" t="s">
        <v>12</v>
      </c>
      <c r="B206" s="5">
        <v>46170</v>
      </c>
      <c r="C206" s="4">
        <v>300</v>
      </c>
      <c r="D206" s="4" t="s">
        <v>13</v>
      </c>
      <c r="E206" s="4">
        <v>10</v>
      </c>
      <c r="F206" s="4" t="s">
        <v>17</v>
      </c>
      <c r="G206" s="6">
        <v>3.0000000000000001E-3</v>
      </c>
      <c r="H206" s="6">
        <v>1.4999999999999999E-2</v>
      </c>
      <c r="I206" s="6">
        <v>159</v>
      </c>
      <c r="J206" s="4" t="s">
        <v>15</v>
      </c>
      <c r="K206" s="10" t="s">
        <v>483</v>
      </c>
      <c r="L206" s="4" t="s">
        <v>193</v>
      </c>
    </row>
    <row r="207" spans="1:12" x14ac:dyDescent="0.2">
      <c r="A207" s="4" t="s">
        <v>12</v>
      </c>
      <c r="B207" s="5">
        <v>46170</v>
      </c>
      <c r="C207" s="4">
        <v>15270</v>
      </c>
      <c r="D207" s="4" t="s">
        <v>13</v>
      </c>
      <c r="E207" s="4">
        <v>509</v>
      </c>
      <c r="F207" s="4" t="s">
        <v>17</v>
      </c>
      <c r="G207" s="6">
        <v>0.13600000000000001</v>
      </c>
      <c r="H207" s="6">
        <v>0.75</v>
      </c>
      <c r="I207" s="6">
        <v>8088</v>
      </c>
      <c r="J207" s="4" t="s">
        <v>15</v>
      </c>
      <c r="K207" s="10" t="s">
        <v>483</v>
      </c>
      <c r="L207" s="4" t="s">
        <v>194</v>
      </c>
    </row>
    <row r="208" spans="1:12" x14ac:dyDescent="0.2">
      <c r="A208" s="4" t="s">
        <v>12</v>
      </c>
      <c r="B208" s="5">
        <v>46170</v>
      </c>
      <c r="C208" s="4">
        <v>54450</v>
      </c>
      <c r="D208" s="4" t="s">
        <v>13</v>
      </c>
      <c r="E208" s="4">
        <v>1815</v>
      </c>
      <c r="F208" s="4" t="s">
        <v>17</v>
      </c>
      <c r="G208" s="6">
        <v>0.48499999999999999</v>
      </c>
      <c r="H208" s="6">
        <v>2.6760000000000002</v>
      </c>
      <c r="I208" s="6">
        <v>28840</v>
      </c>
      <c r="J208" s="4" t="s">
        <v>15</v>
      </c>
      <c r="K208" s="10" t="s">
        <v>483</v>
      </c>
      <c r="L208" s="4" t="s">
        <v>195</v>
      </c>
    </row>
    <row r="209" spans="1:12" x14ac:dyDescent="0.2">
      <c r="A209" s="4" t="s">
        <v>12</v>
      </c>
      <c r="B209" s="5">
        <v>46170</v>
      </c>
      <c r="C209" s="4">
        <v>240</v>
      </c>
      <c r="D209" s="4" t="s">
        <v>13</v>
      </c>
      <c r="E209" s="4">
        <v>8</v>
      </c>
      <c r="F209" s="4" t="s">
        <v>17</v>
      </c>
      <c r="G209" s="6">
        <v>2E-3</v>
      </c>
      <c r="H209" s="6">
        <v>1.2E-2</v>
      </c>
      <c r="I209" s="6">
        <v>163</v>
      </c>
      <c r="J209" s="4" t="s">
        <v>15</v>
      </c>
      <c r="K209" s="10" t="s">
        <v>484</v>
      </c>
      <c r="L209" s="4" t="s">
        <v>196</v>
      </c>
    </row>
    <row r="210" spans="1:12" x14ac:dyDescent="0.2">
      <c r="A210" s="4" t="s">
        <v>12</v>
      </c>
      <c r="B210" s="5">
        <v>46170</v>
      </c>
      <c r="C210" s="4">
        <v>180</v>
      </c>
      <c r="D210" s="4" t="s">
        <v>13</v>
      </c>
      <c r="E210" s="4">
        <v>6</v>
      </c>
      <c r="F210" s="4" t="s">
        <v>17</v>
      </c>
      <c r="G210" s="6">
        <v>2E-3</v>
      </c>
      <c r="H210" s="6">
        <v>8.9999999999999993E-3</v>
      </c>
      <c r="I210" s="6">
        <v>122</v>
      </c>
      <c r="J210" s="4" t="s">
        <v>15</v>
      </c>
      <c r="K210" s="10" t="s">
        <v>484</v>
      </c>
      <c r="L210" s="4" t="s">
        <v>197</v>
      </c>
    </row>
    <row r="211" spans="1:12" x14ac:dyDescent="0.2">
      <c r="A211" s="4" t="s">
        <v>12</v>
      </c>
      <c r="B211" s="5">
        <v>46170</v>
      </c>
      <c r="C211" s="4">
        <v>900</v>
      </c>
      <c r="D211" s="4" t="s">
        <v>13</v>
      </c>
      <c r="E211" s="4">
        <v>30</v>
      </c>
      <c r="F211" s="4" t="s">
        <v>17</v>
      </c>
      <c r="G211" s="6">
        <v>8.9999999999999993E-3</v>
      </c>
      <c r="H211" s="6">
        <v>4.2999999999999997E-2</v>
      </c>
      <c r="I211" s="6">
        <v>611</v>
      </c>
      <c r="J211" s="4" t="s">
        <v>15</v>
      </c>
      <c r="K211" s="10" t="s">
        <v>484</v>
      </c>
      <c r="L211" s="4" t="s">
        <v>198</v>
      </c>
    </row>
    <row r="212" spans="1:12" x14ac:dyDescent="0.2">
      <c r="A212" s="4" t="s">
        <v>12</v>
      </c>
      <c r="B212" s="5">
        <v>46170</v>
      </c>
      <c r="C212" s="4">
        <v>28350</v>
      </c>
      <c r="D212" s="4" t="s">
        <v>13</v>
      </c>
      <c r="E212" s="4">
        <v>945</v>
      </c>
      <c r="F212" s="4" t="s">
        <v>17</v>
      </c>
      <c r="G212" s="6">
        <v>0.29299999999999998</v>
      </c>
      <c r="H212" s="6">
        <v>1.37</v>
      </c>
      <c r="I212" s="6">
        <v>19250</v>
      </c>
      <c r="J212" s="4" t="s">
        <v>15</v>
      </c>
      <c r="K212" s="10" t="s">
        <v>484</v>
      </c>
      <c r="L212" s="4" t="s">
        <v>199</v>
      </c>
    </row>
    <row r="213" spans="1:12" x14ac:dyDescent="0.2">
      <c r="A213" s="4" t="s">
        <v>12</v>
      </c>
      <c r="B213" s="5">
        <v>46170</v>
      </c>
      <c r="C213" s="4">
        <v>40680</v>
      </c>
      <c r="D213" s="4" t="s">
        <v>13</v>
      </c>
      <c r="E213" s="4">
        <v>1352</v>
      </c>
      <c r="F213" s="4" t="s">
        <v>17</v>
      </c>
      <c r="G213" s="6">
        <v>0.42</v>
      </c>
      <c r="H213" s="6">
        <v>1.96</v>
      </c>
      <c r="I213" s="6">
        <v>27622</v>
      </c>
      <c r="J213" s="4" t="s">
        <v>15</v>
      </c>
      <c r="K213" s="10" t="s">
        <v>484</v>
      </c>
      <c r="L213" s="4" t="s">
        <v>200</v>
      </c>
    </row>
    <row r="214" spans="1:12" x14ac:dyDescent="0.2">
      <c r="A214" s="4" t="s">
        <v>12</v>
      </c>
      <c r="B214" s="5">
        <v>46170</v>
      </c>
      <c r="C214" s="4">
        <v>40620</v>
      </c>
      <c r="D214" s="4" t="s">
        <v>13</v>
      </c>
      <c r="E214" s="4">
        <v>1354</v>
      </c>
      <c r="F214" s="4" t="s">
        <v>17</v>
      </c>
      <c r="G214" s="6">
        <v>0.42</v>
      </c>
      <c r="H214" s="6">
        <v>1.96</v>
      </c>
      <c r="I214" s="6">
        <v>27581</v>
      </c>
      <c r="J214" s="4" t="s">
        <v>15</v>
      </c>
      <c r="K214" s="10" t="s">
        <v>484</v>
      </c>
      <c r="L214" s="4" t="s">
        <v>201</v>
      </c>
    </row>
    <row r="215" spans="1:12" x14ac:dyDescent="0.2">
      <c r="A215" s="4" t="s">
        <v>12</v>
      </c>
      <c r="B215" s="5">
        <v>46170</v>
      </c>
      <c r="C215" s="4">
        <v>40710</v>
      </c>
      <c r="D215" s="4" t="s">
        <v>13</v>
      </c>
      <c r="E215" s="4">
        <v>1357</v>
      </c>
      <c r="F215" s="4" t="s">
        <v>17</v>
      </c>
      <c r="G215" s="6">
        <v>0.42</v>
      </c>
      <c r="H215" s="6">
        <v>1.96</v>
      </c>
      <c r="I215" s="6">
        <v>27642</v>
      </c>
      <c r="J215" s="4" t="s">
        <v>15</v>
      </c>
      <c r="K215" s="10" t="s">
        <v>484</v>
      </c>
      <c r="L215" s="4" t="s">
        <v>202</v>
      </c>
    </row>
    <row r="216" spans="1:12" x14ac:dyDescent="0.2">
      <c r="A216" s="4" t="s">
        <v>12</v>
      </c>
      <c r="B216" s="5">
        <v>46170</v>
      </c>
      <c r="C216" s="4">
        <v>41010</v>
      </c>
      <c r="D216" s="4" t="s">
        <v>13</v>
      </c>
      <c r="E216" s="4">
        <v>1367</v>
      </c>
      <c r="F216" s="4" t="s">
        <v>72</v>
      </c>
      <c r="G216" s="6">
        <v>0.42399999999999999</v>
      </c>
      <c r="H216" s="6">
        <v>2.0099999999999998</v>
      </c>
      <c r="I216" s="6">
        <v>27846</v>
      </c>
      <c r="J216" s="4" t="s">
        <v>15</v>
      </c>
      <c r="K216" s="10" t="s">
        <v>484</v>
      </c>
      <c r="L216" s="4" t="s">
        <v>203</v>
      </c>
    </row>
    <row r="217" spans="1:12" x14ac:dyDescent="0.2">
      <c r="A217" s="4" t="s">
        <v>12</v>
      </c>
      <c r="B217" s="5">
        <v>46170</v>
      </c>
      <c r="C217" s="4">
        <v>40890</v>
      </c>
      <c r="D217" s="4" t="s">
        <v>13</v>
      </c>
      <c r="E217" s="4">
        <v>1363</v>
      </c>
      <c r="F217" s="4" t="s">
        <v>17</v>
      </c>
      <c r="G217" s="6">
        <v>0.42299999999999999</v>
      </c>
      <c r="H217" s="6">
        <v>2.0099999999999998</v>
      </c>
      <c r="I217" s="6">
        <v>27764</v>
      </c>
      <c r="J217" s="4" t="s">
        <v>15</v>
      </c>
      <c r="K217" s="10" t="s">
        <v>484</v>
      </c>
      <c r="L217" s="4" t="s">
        <v>204</v>
      </c>
    </row>
    <row r="218" spans="1:12" x14ac:dyDescent="0.2">
      <c r="A218" s="4" t="s">
        <v>12</v>
      </c>
      <c r="B218" s="5">
        <v>46170</v>
      </c>
      <c r="C218" s="4">
        <v>40860</v>
      </c>
      <c r="D218" s="4" t="s">
        <v>13</v>
      </c>
      <c r="E218" s="4">
        <v>1362</v>
      </c>
      <c r="F218" s="4" t="s">
        <v>17</v>
      </c>
      <c r="G218" s="6">
        <v>0.42199999999999999</v>
      </c>
      <c r="H218" s="6">
        <v>2.0099999999999998</v>
      </c>
      <c r="I218" s="6">
        <v>27744</v>
      </c>
      <c r="J218" s="4" t="s">
        <v>15</v>
      </c>
      <c r="K218" s="10" t="s">
        <v>484</v>
      </c>
      <c r="L218" s="4" t="s">
        <v>205</v>
      </c>
    </row>
    <row r="219" spans="1:12" x14ac:dyDescent="0.2">
      <c r="A219" s="4" t="s">
        <v>12</v>
      </c>
      <c r="B219" s="5">
        <v>46170</v>
      </c>
      <c r="C219" s="4">
        <v>40380</v>
      </c>
      <c r="D219" s="4" t="s">
        <v>13</v>
      </c>
      <c r="E219" s="4">
        <v>1346</v>
      </c>
      <c r="F219" s="4" t="s">
        <v>17</v>
      </c>
      <c r="G219" s="6">
        <v>0.41699999999999998</v>
      </c>
      <c r="H219" s="6">
        <v>1.96</v>
      </c>
      <c r="I219" s="6">
        <v>27418</v>
      </c>
      <c r="J219" s="4" t="s">
        <v>15</v>
      </c>
      <c r="K219" s="10" t="s">
        <v>484</v>
      </c>
      <c r="L219" s="4" t="s">
        <v>206</v>
      </c>
    </row>
    <row r="220" spans="1:12" x14ac:dyDescent="0.2">
      <c r="A220" s="4" t="s">
        <v>12</v>
      </c>
      <c r="B220" s="5">
        <v>46170</v>
      </c>
      <c r="C220" s="4">
        <v>40800</v>
      </c>
      <c r="D220" s="4" t="s">
        <v>13</v>
      </c>
      <c r="E220" s="4">
        <v>1360</v>
      </c>
      <c r="F220" s="4" t="s">
        <v>17</v>
      </c>
      <c r="G220" s="6">
        <v>0.42199999999999999</v>
      </c>
      <c r="H220" s="6">
        <v>1.96</v>
      </c>
      <c r="I220" s="6">
        <v>27703</v>
      </c>
      <c r="J220" s="4" t="s">
        <v>15</v>
      </c>
      <c r="K220" s="10" t="s">
        <v>484</v>
      </c>
      <c r="L220" s="4" t="s">
        <v>207</v>
      </c>
    </row>
    <row r="221" spans="1:12" x14ac:dyDescent="0.2">
      <c r="A221" s="4" t="s">
        <v>12</v>
      </c>
      <c r="B221" s="5">
        <v>46170</v>
      </c>
      <c r="C221" s="4">
        <v>40860</v>
      </c>
      <c r="D221" s="4" t="s">
        <v>13</v>
      </c>
      <c r="E221" s="4">
        <v>1362</v>
      </c>
      <c r="F221" s="4" t="s">
        <v>17</v>
      </c>
      <c r="G221" s="6">
        <v>0.42199999999999999</v>
      </c>
      <c r="H221" s="6">
        <v>2.0099999999999998</v>
      </c>
      <c r="I221" s="6">
        <v>27744</v>
      </c>
      <c r="J221" s="4" t="s">
        <v>15</v>
      </c>
      <c r="K221" s="10" t="s">
        <v>484</v>
      </c>
      <c r="L221" s="4" t="s">
        <v>208</v>
      </c>
    </row>
    <row r="222" spans="1:12" x14ac:dyDescent="0.2">
      <c r="A222" s="4" t="s">
        <v>12</v>
      </c>
      <c r="B222" s="5">
        <v>46170</v>
      </c>
      <c r="C222" s="4">
        <v>14541</v>
      </c>
      <c r="D222" s="4" t="s">
        <v>13</v>
      </c>
      <c r="E222" s="4">
        <v>14541</v>
      </c>
      <c r="F222" s="4" t="s">
        <v>17</v>
      </c>
      <c r="G222" s="6">
        <v>0.72699999999999998</v>
      </c>
      <c r="H222" s="6">
        <v>3.6469999999999998</v>
      </c>
      <c r="I222" s="6">
        <v>21084</v>
      </c>
      <c r="J222" s="4" t="s">
        <v>15</v>
      </c>
      <c r="K222" s="10" t="s">
        <v>485</v>
      </c>
      <c r="L222" s="4" t="s">
        <v>209</v>
      </c>
    </row>
    <row r="223" spans="1:12" x14ac:dyDescent="0.2">
      <c r="A223" s="4" t="s">
        <v>12</v>
      </c>
      <c r="B223" s="5">
        <v>46170</v>
      </c>
      <c r="C223" s="4">
        <v>12800</v>
      </c>
      <c r="D223" s="4" t="s">
        <v>13</v>
      </c>
      <c r="E223" s="4">
        <v>12800</v>
      </c>
      <c r="F223" s="4" t="s">
        <v>17</v>
      </c>
      <c r="G223" s="6">
        <v>0.64</v>
      </c>
      <c r="H223" s="6">
        <v>3.21</v>
      </c>
      <c r="I223" s="6">
        <v>18560</v>
      </c>
      <c r="J223" s="4" t="s">
        <v>15</v>
      </c>
      <c r="K223" s="10" t="s">
        <v>485</v>
      </c>
      <c r="L223" s="4" t="s">
        <v>210</v>
      </c>
    </row>
    <row r="224" spans="1:12" x14ac:dyDescent="0.2">
      <c r="A224" s="4" t="s">
        <v>12</v>
      </c>
      <c r="B224" s="5">
        <v>46170</v>
      </c>
      <c r="C224" s="4">
        <v>52800</v>
      </c>
      <c r="D224" s="4" t="s">
        <v>13</v>
      </c>
      <c r="E224" s="4">
        <v>52800</v>
      </c>
      <c r="F224" s="4" t="s">
        <v>17</v>
      </c>
      <c r="G224" s="6">
        <v>2.64</v>
      </c>
      <c r="H224" s="6">
        <v>13.242000000000001</v>
      </c>
      <c r="I224" s="6">
        <v>76560</v>
      </c>
      <c r="J224" s="4" t="s">
        <v>15</v>
      </c>
      <c r="K224" s="10" t="s">
        <v>486</v>
      </c>
      <c r="L224" s="4" t="s">
        <v>211</v>
      </c>
    </row>
    <row r="225" spans="1:12" x14ac:dyDescent="0.2">
      <c r="A225" s="4" t="s">
        <v>12</v>
      </c>
      <c r="B225" s="5">
        <v>46170</v>
      </c>
      <c r="C225" s="4">
        <v>23700</v>
      </c>
      <c r="D225" s="4" t="s">
        <v>13</v>
      </c>
      <c r="E225" s="4">
        <v>23700</v>
      </c>
      <c r="F225" s="4" t="s">
        <v>17</v>
      </c>
      <c r="G225" s="6">
        <v>1.1850000000000001</v>
      </c>
      <c r="H225" s="6">
        <v>5.944</v>
      </c>
      <c r="I225" s="6">
        <v>34365</v>
      </c>
      <c r="J225" s="4" t="s">
        <v>15</v>
      </c>
      <c r="K225" s="10" t="s">
        <v>487</v>
      </c>
      <c r="L225" s="4" t="s">
        <v>212</v>
      </c>
    </row>
    <row r="226" spans="1:12" x14ac:dyDescent="0.2">
      <c r="A226" s="4" t="s">
        <v>12</v>
      </c>
      <c r="B226" s="5">
        <v>46170</v>
      </c>
      <c r="C226" s="4">
        <v>36853</v>
      </c>
      <c r="D226" s="4" t="s">
        <v>213</v>
      </c>
      <c r="E226" s="4">
        <v>36853</v>
      </c>
      <c r="F226" s="4" t="s">
        <v>17</v>
      </c>
      <c r="G226" s="6">
        <v>1.843</v>
      </c>
      <c r="H226" s="6">
        <v>9.2430000000000003</v>
      </c>
      <c r="I226" s="6">
        <v>53437</v>
      </c>
      <c r="J226" s="4" t="s">
        <v>15</v>
      </c>
      <c r="K226" s="10" t="s">
        <v>485</v>
      </c>
      <c r="L226" s="4" t="s">
        <v>214</v>
      </c>
    </row>
    <row r="227" spans="1:12" x14ac:dyDescent="0.2">
      <c r="A227" s="4" t="s">
        <v>12</v>
      </c>
      <c r="B227" s="5">
        <v>46170</v>
      </c>
      <c r="C227" s="4">
        <v>73200</v>
      </c>
      <c r="D227" s="4" t="s">
        <v>13</v>
      </c>
      <c r="E227" s="4">
        <v>73200</v>
      </c>
      <c r="F227" s="4" t="s">
        <v>17</v>
      </c>
      <c r="G227" s="6">
        <v>3.66</v>
      </c>
      <c r="H227" s="6">
        <v>18.359000000000002</v>
      </c>
      <c r="I227" s="6">
        <v>106</v>
      </c>
      <c r="J227" s="4" t="s">
        <v>15</v>
      </c>
      <c r="K227" s="10" t="s">
        <v>487</v>
      </c>
      <c r="L227" s="4" t="s">
        <v>215</v>
      </c>
    </row>
    <row r="228" spans="1:12" x14ac:dyDescent="0.2">
      <c r="A228" s="4" t="s">
        <v>12</v>
      </c>
      <c r="B228" s="5">
        <v>46170</v>
      </c>
      <c r="C228" s="4">
        <v>69000</v>
      </c>
      <c r="D228" s="4" t="s">
        <v>13</v>
      </c>
      <c r="E228" s="4">
        <v>69000</v>
      </c>
      <c r="F228" s="4" t="s">
        <v>17</v>
      </c>
      <c r="G228" s="6">
        <v>3.45</v>
      </c>
      <c r="H228" s="6">
        <v>17.305</v>
      </c>
      <c r="I228" s="6">
        <v>100050</v>
      </c>
      <c r="J228" s="4" t="s">
        <v>15</v>
      </c>
      <c r="K228" s="10" t="s">
        <v>487</v>
      </c>
      <c r="L228" s="4" t="s">
        <v>216</v>
      </c>
    </row>
    <row r="229" spans="1:12" x14ac:dyDescent="0.2">
      <c r="A229" s="4" t="s">
        <v>12</v>
      </c>
      <c r="B229" s="5">
        <v>46170</v>
      </c>
      <c r="C229" s="4">
        <v>1770</v>
      </c>
      <c r="D229" s="4" t="s">
        <v>13</v>
      </c>
      <c r="E229" s="4">
        <v>59</v>
      </c>
      <c r="F229" s="4" t="s">
        <v>17</v>
      </c>
      <c r="G229" s="6">
        <v>1.4999999999999999E-2</v>
      </c>
      <c r="H229" s="6">
        <v>7.9000000000000001E-2</v>
      </c>
      <c r="I229" s="6">
        <v>496</v>
      </c>
      <c r="J229" s="4" t="s">
        <v>15</v>
      </c>
      <c r="K229" s="10" t="s">
        <v>480</v>
      </c>
      <c r="L229" s="4" t="s">
        <v>217</v>
      </c>
    </row>
    <row r="230" spans="1:12" x14ac:dyDescent="0.2">
      <c r="A230" s="4" t="s">
        <v>12</v>
      </c>
      <c r="B230" s="5">
        <v>46170</v>
      </c>
      <c r="C230" s="4">
        <v>109200</v>
      </c>
      <c r="D230" s="4" t="s">
        <v>13</v>
      </c>
      <c r="E230" s="4">
        <v>3640</v>
      </c>
      <c r="F230" s="4" t="s">
        <v>17</v>
      </c>
      <c r="G230" s="6">
        <v>1.163</v>
      </c>
      <c r="H230" s="6">
        <v>4.9029999999999996</v>
      </c>
      <c r="I230" s="6">
        <v>52416</v>
      </c>
      <c r="J230" s="4" t="s">
        <v>15</v>
      </c>
      <c r="K230" s="10" t="s">
        <v>488</v>
      </c>
      <c r="L230" s="4" t="s">
        <v>218</v>
      </c>
    </row>
    <row r="231" spans="1:12" x14ac:dyDescent="0.2">
      <c r="A231" s="4" t="s">
        <v>12</v>
      </c>
      <c r="B231" s="5">
        <v>46170</v>
      </c>
      <c r="C231" s="4">
        <v>109650</v>
      </c>
      <c r="D231" s="4" t="s">
        <v>13</v>
      </c>
      <c r="E231" s="4">
        <v>2193</v>
      </c>
      <c r="F231" s="4" t="s">
        <v>219</v>
      </c>
      <c r="G231" s="6">
        <v>70.176000000000002</v>
      </c>
      <c r="H231" s="6">
        <v>240.70400000000001</v>
      </c>
      <c r="I231" s="6">
        <v>254388</v>
      </c>
      <c r="J231" s="4" t="s">
        <v>15</v>
      </c>
      <c r="K231" s="10" t="s">
        <v>20</v>
      </c>
      <c r="L231" s="4" t="s">
        <v>220</v>
      </c>
    </row>
    <row r="232" spans="1:12" x14ac:dyDescent="0.2">
      <c r="A232" s="4" t="s">
        <v>12</v>
      </c>
      <c r="B232" s="5">
        <v>46170</v>
      </c>
      <c r="C232" s="4">
        <v>23</v>
      </c>
      <c r="D232" s="4" t="s">
        <v>13</v>
      </c>
      <c r="E232" s="4">
        <v>23</v>
      </c>
      <c r="F232" s="4" t="s">
        <v>14</v>
      </c>
      <c r="G232" s="6">
        <v>1.4999999999999999E-2</v>
      </c>
      <c r="H232" s="6">
        <v>0.05</v>
      </c>
      <c r="I232" s="6">
        <v>53</v>
      </c>
      <c r="J232" s="4" t="s">
        <v>15</v>
      </c>
      <c r="K232" s="10" t="s">
        <v>20</v>
      </c>
      <c r="L232" s="4" t="s">
        <v>220</v>
      </c>
    </row>
    <row r="233" spans="1:12" x14ac:dyDescent="0.2">
      <c r="A233" s="4" t="s">
        <v>12</v>
      </c>
      <c r="B233" s="5">
        <v>46170</v>
      </c>
      <c r="C233" s="4">
        <v>14</v>
      </c>
      <c r="D233" s="4" t="s">
        <v>13</v>
      </c>
      <c r="E233" s="4">
        <v>14</v>
      </c>
      <c r="F233" s="4" t="s">
        <v>14</v>
      </c>
      <c r="G233" s="6">
        <v>8.9999999999999993E-3</v>
      </c>
      <c r="H233" s="6">
        <v>3.1E-2</v>
      </c>
      <c r="I233" s="6">
        <v>32</v>
      </c>
      <c r="J233" s="4" t="s">
        <v>15</v>
      </c>
      <c r="K233" s="10" t="s">
        <v>20</v>
      </c>
      <c r="L233" s="4" t="s">
        <v>220</v>
      </c>
    </row>
    <row r="234" spans="1:12" x14ac:dyDescent="0.2">
      <c r="A234" s="4" t="s">
        <v>12</v>
      </c>
      <c r="B234" s="5">
        <v>46170</v>
      </c>
      <c r="C234" s="4">
        <v>432000</v>
      </c>
      <c r="D234" s="4" t="s">
        <v>13</v>
      </c>
      <c r="E234" s="4">
        <v>3000</v>
      </c>
      <c r="F234" s="4" t="s">
        <v>17</v>
      </c>
      <c r="G234" s="6">
        <v>1.296</v>
      </c>
      <c r="H234" s="6">
        <v>7.0549999999999997</v>
      </c>
      <c r="I234" s="6">
        <v>8340</v>
      </c>
      <c r="J234" s="4" t="s">
        <v>15</v>
      </c>
      <c r="K234" s="10" t="s">
        <v>368</v>
      </c>
      <c r="L234" s="4" t="s">
        <v>18</v>
      </c>
    </row>
    <row r="235" spans="1:12" x14ac:dyDescent="0.2">
      <c r="A235" s="4" t="s">
        <v>12</v>
      </c>
      <c r="B235" s="5">
        <v>46170</v>
      </c>
      <c r="C235" s="4">
        <v>432000</v>
      </c>
      <c r="D235" s="4" t="s">
        <v>13</v>
      </c>
      <c r="E235" s="4">
        <v>3000</v>
      </c>
      <c r="F235" s="4" t="s">
        <v>17</v>
      </c>
      <c r="G235" s="6">
        <v>1.296</v>
      </c>
      <c r="H235" s="6">
        <v>7.0549999999999997</v>
      </c>
      <c r="I235" s="6">
        <v>8340</v>
      </c>
      <c r="J235" s="4" t="s">
        <v>15</v>
      </c>
      <c r="K235" s="10" t="s">
        <v>368</v>
      </c>
      <c r="L235" s="4" t="s">
        <v>18</v>
      </c>
    </row>
    <row r="236" spans="1:12" x14ac:dyDescent="0.2">
      <c r="A236" s="4" t="s">
        <v>12</v>
      </c>
      <c r="B236" s="5">
        <v>46170</v>
      </c>
      <c r="C236" s="4">
        <v>423360</v>
      </c>
      <c r="D236" s="4" t="s">
        <v>13</v>
      </c>
      <c r="E236" s="4">
        <v>2940</v>
      </c>
      <c r="F236" s="4" t="s">
        <v>17</v>
      </c>
      <c r="G236" s="6">
        <v>1.27</v>
      </c>
      <c r="H236" s="6">
        <v>6.9130000000000003</v>
      </c>
      <c r="I236" s="6">
        <v>8173</v>
      </c>
      <c r="J236" s="4" t="s">
        <v>15</v>
      </c>
      <c r="K236" s="10" t="s">
        <v>368</v>
      </c>
      <c r="L236" s="4" t="s">
        <v>18</v>
      </c>
    </row>
    <row r="237" spans="1:12" x14ac:dyDescent="0.2">
      <c r="A237" s="4" t="s">
        <v>12</v>
      </c>
      <c r="B237" s="5">
        <v>46170</v>
      </c>
      <c r="C237" s="4">
        <v>432000</v>
      </c>
      <c r="D237" s="4" t="s">
        <v>13</v>
      </c>
      <c r="E237" s="4">
        <v>3000</v>
      </c>
      <c r="F237" s="4" t="s">
        <v>17</v>
      </c>
      <c r="G237" s="6">
        <v>1.296</v>
      </c>
      <c r="H237" s="6">
        <v>7.0549999999999997</v>
      </c>
      <c r="I237" s="6">
        <v>8340</v>
      </c>
      <c r="J237" s="4" t="s">
        <v>15</v>
      </c>
      <c r="K237" s="10" t="s">
        <v>369</v>
      </c>
      <c r="L237" s="4" t="s">
        <v>18</v>
      </c>
    </row>
    <row r="238" spans="1:12" x14ac:dyDescent="0.2">
      <c r="A238" s="4" t="s">
        <v>12</v>
      </c>
      <c r="B238" s="5">
        <v>46170</v>
      </c>
      <c r="C238" s="4">
        <v>437760</v>
      </c>
      <c r="D238" s="4" t="s">
        <v>13</v>
      </c>
      <c r="E238" s="4">
        <v>3040</v>
      </c>
      <c r="F238" s="4" t="s">
        <v>17</v>
      </c>
      <c r="G238" s="6">
        <v>1.3129999999999999</v>
      </c>
      <c r="H238" s="6">
        <v>7.15</v>
      </c>
      <c r="I238" s="6">
        <v>8451</v>
      </c>
      <c r="J238" s="4" t="s">
        <v>15</v>
      </c>
      <c r="K238" s="10" t="s">
        <v>369</v>
      </c>
      <c r="L238" s="4" t="s">
        <v>18</v>
      </c>
    </row>
    <row r="239" spans="1:12" x14ac:dyDescent="0.2">
      <c r="A239" s="4" t="s">
        <v>12</v>
      </c>
      <c r="B239" s="5">
        <v>46170</v>
      </c>
      <c r="C239" s="4">
        <v>432000</v>
      </c>
      <c r="D239" s="4" t="s">
        <v>13</v>
      </c>
      <c r="E239" s="4">
        <v>3000</v>
      </c>
      <c r="F239" s="4" t="s">
        <v>17</v>
      </c>
      <c r="G239" s="6">
        <v>1.296</v>
      </c>
      <c r="H239" s="6">
        <v>7.0549999999999997</v>
      </c>
      <c r="I239" s="6">
        <v>8340</v>
      </c>
      <c r="J239" s="4" t="s">
        <v>15</v>
      </c>
      <c r="K239" s="10" t="s">
        <v>369</v>
      </c>
      <c r="L239" s="4" t="s">
        <v>18</v>
      </c>
    </row>
    <row r="240" spans="1:12" x14ac:dyDescent="0.2">
      <c r="A240" s="4" t="s">
        <v>12</v>
      </c>
      <c r="B240" s="5">
        <v>46170</v>
      </c>
      <c r="C240" s="4">
        <v>432000</v>
      </c>
      <c r="D240" s="4" t="s">
        <v>13</v>
      </c>
      <c r="E240" s="4">
        <v>3000</v>
      </c>
      <c r="F240" s="4" t="s">
        <v>17</v>
      </c>
      <c r="G240" s="6">
        <v>1.296</v>
      </c>
      <c r="H240" s="6">
        <v>7.0549999999999997</v>
      </c>
      <c r="I240" s="6">
        <v>8340</v>
      </c>
      <c r="J240" s="4" t="s">
        <v>15</v>
      </c>
      <c r="K240" s="10" t="s">
        <v>369</v>
      </c>
      <c r="L240" s="4" t="s">
        <v>18</v>
      </c>
    </row>
    <row r="241" spans="1:12" x14ac:dyDescent="0.2">
      <c r="A241" s="4" t="s">
        <v>12</v>
      </c>
      <c r="B241" s="5">
        <v>46170</v>
      </c>
      <c r="C241" s="4">
        <v>434880</v>
      </c>
      <c r="D241" s="4" t="s">
        <v>13</v>
      </c>
      <c r="E241" s="4">
        <v>3020</v>
      </c>
      <c r="F241" s="4" t="s">
        <v>17</v>
      </c>
      <c r="G241" s="6">
        <v>1.296</v>
      </c>
      <c r="H241" s="6">
        <v>7.1</v>
      </c>
      <c r="I241" s="6">
        <v>8396</v>
      </c>
      <c r="J241" s="4" t="s">
        <v>15</v>
      </c>
      <c r="K241" s="10" t="s">
        <v>369</v>
      </c>
      <c r="L241" s="4" t="s">
        <v>18</v>
      </c>
    </row>
    <row r="242" spans="1:12" x14ac:dyDescent="0.2">
      <c r="A242" s="4" t="s">
        <v>12</v>
      </c>
      <c r="B242" s="5">
        <v>46170</v>
      </c>
      <c r="C242" s="4">
        <v>166800</v>
      </c>
      <c r="D242" s="4" t="s">
        <v>13</v>
      </c>
      <c r="E242" s="4">
        <v>1668</v>
      </c>
      <c r="F242" s="4" t="s">
        <v>17</v>
      </c>
      <c r="G242" s="6">
        <v>1.8009999999999999</v>
      </c>
      <c r="H242" s="6">
        <v>11.494</v>
      </c>
      <c r="I242" s="6">
        <v>68388</v>
      </c>
      <c r="J242" s="4" t="s">
        <v>15</v>
      </c>
      <c r="K242" s="10" t="s">
        <v>370</v>
      </c>
      <c r="L242" s="4" t="s">
        <v>19</v>
      </c>
    </row>
    <row r="243" spans="1:12" x14ac:dyDescent="0.2">
      <c r="A243" s="4" t="s">
        <v>12</v>
      </c>
      <c r="B243" s="5">
        <v>46170</v>
      </c>
      <c r="C243" s="4">
        <v>16000</v>
      </c>
      <c r="D243" s="4" t="s">
        <v>13</v>
      </c>
      <c r="E243" s="4">
        <v>800</v>
      </c>
      <c r="F243" s="4" t="s">
        <v>17</v>
      </c>
      <c r="G243" s="6">
        <v>9.4</v>
      </c>
      <c r="H243" s="6">
        <v>17.600000000000001</v>
      </c>
      <c r="I243" s="6">
        <v>3520</v>
      </c>
      <c r="J243" s="4" t="s">
        <v>15</v>
      </c>
      <c r="K243" s="10" t="s">
        <v>467</v>
      </c>
      <c r="L243" s="4" t="s">
        <v>165</v>
      </c>
    </row>
    <row r="244" spans="1:12" x14ac:dyDescent="0.2">
      <c r="A244" s="4" t="s">
        <v>12</v>
      </c>
      <c r="B244" s="5">
        <v>46170</v>
      </c>
      <c r="C244" s="4">
        <v>30000</v>
      </c>
      <c r="D244" s="4" t="s">
        <v>13</v>
      </c>
      <c r="E244" s="4">
        <v>30000</v>
      </c>
      <c r="F244" s="4" t="s">
        <v>14</v>
      </c>
      <c r="G244" s="6">
        <v>1.05</v>
      </c>
      <c r="H244" s="6">
        <v>8.8800000000000008</v>
      </c>
      <c r="I244" s="6">
        <v>4200</v>
      </c>
      <c r="J244" s="4" t="s">
        <v>15</v>
      </c>
      <c r="K244" s="10" t="s">
        <v>472</v>
      </c>
      <c r="L244" s="4" t="s">
        <v>176</v>
      </c>
    </row>
    <row r="245" spans="1:12" x14ac:dyDescent="0.2">
      <c r="A245" s="4" t="s">
        <v>12</v>
      </c>
      <c r="B245" s="5">
        <v>46170</v>
      </c>
      <c r="C245" s="4">
        <v>30000</v>
      </c>
      <c r="D245" s="4" t="s">
        <v>13</v>
      </c>
      <c r="E245" s="4">
        <v>30000</v>
      </c>
      <c r="F245" s="4" t="s">
        <v>14</v>
      </c>
      <c r="G245" s="6">
        <v>1.05</v>
      </c>
      <c r="H245" s="6">
        <v>8.8800000000000008</v>
      </c>
      <c r="I245" s="6">
        <v>4200</v>
      </c>
      <c r="J245" s="4" t="s">
        <v>15</v>
      </c>
      <c r="K245" s="10" t="s">
        <v>472</v>
      </c>
      <c r="L245" s="4" t="s">
        <v>176</v>
      </c>
    </row>
    <row r="246" spans="1:12" x14ac:dyDescent="0.2">
      <c r="A246" s="4" t="s">
        <v>12</v>
      </c>
      <c r="B246" s="5">
        <v>46170</v>
      </c>
      <c r="C246" s="4">
        <v>30000</v>
      </c>
      <c r="D246" s="4" t="s">
        <v>13</v>
      </c>
      <c r="E246" s="4">
        <v>30000</v>
      </c>
      <c r="F246" s="4" t="s">
        <v>14</v>
      </c>
      <c r="G246" s="6">
        <v>1.05</v>
      </c>
      <c r="H246" s="6">
        <v>8.8800000000000008</v>
      </c>
      <c r="I246" s="6">
        <v>4200</v>
      </c>
      <c r="J246" s="4" t="s">
        <v>15</v>
      </c>
      <c r="K246" s="10" t="s">
        <v>472</v>
      </c>
      <c r="L246" s="4" t="s">
        <v>176</v>
      </c>
    </row>
    <row r="247" spans="1:12" x14ac:dyDescent="0.2">
      <c r="A247" s="4" t="s">
        <v>12</v>
      </c>
      <c r="B247" s="5">
        <v>46170</v>
      </c>
      <c r="C247" s="4">
        <v>30000</v>
      </c>
      <c r="D247" s="4" t="s">
        <v>13</v>
      </c>
      <c r="E247" s="4">
        <v>30000</v>
      </c>
      <c r="F247" s="4" t="s">
        <v>14</v>
      </c>
      <c r="G247" s="6">
        <v>1.05</v>
      </c>
      <c r="H247" s="6">
        <v>8.8800000000000008</v>
      </c>
      <c r="I247" s="6">
        <v>4200</v>
      </c>
      <c r="J247" s="4" t="s">
        <v>15</v>
      </c>
      <c r="K247" s="10" t="s">
        <v>472</v>
      </c>
      <c r="L247" s="4" t="s">
        <v>176</v>
      </c>
    </row>
    <row r="248" spans="1:12" x14ac:dyDescent="0.2">
      <c r="A248" s="4" t="s">
        <v>12</v>
      </c>
      <c r="B248" s="5">
        <v>46170</v>
      </c>
      <c r="C248" s="4">
        <v>43100</v>
      </c>
      <c r="D248" s="4" t="s">
        <v>13</v>
      </c>
      <c r="E248" s="4">
        <v>43100</v>
      </c>
      <c r="F248" s="4" t="s">
        <v>14</v>
      </c>
      <c r="G248" s="6">
        <v>0.40100000000000002</v>
      </c>
      <c r="H248" s="6">
        <v>4.1589999999999998</v>
      </c>
      <c r="I248" s="6">
        <v>3620</v>
      </c>
      <c r="J248" s="4" t="s">
        <v>15</v>
      </c>
      <c r="K248" s="10" t="s">
        <v>473</v>
      </c>
      <c r="L248" s="4" t="s">
        <v>177</v>
      </c>
    </row>
    <row r="249" spans="1:12" x14ac:dyDescent="0.2">
      <c r="A249" s="4" t="s">
        <v>12</v>
      </c>
      <c r="B249" s="5">
        <v>46170</v>
      </c>
      <c r="C249" s="4">
        <v>66100</v>
      </c>
      <c r="D249" s="4" t="s">
        <v>13</v>
      </c>
      <c r="E249" s="4">
        <v>66100</v>
      </c>
      <c r="F249" s="4" t="s">
        <v>14</v>
      </c>
      <c r="G249" s="6">
        <v>0.61299999999999999</v>
      </c>
      <c r="H249" s="6">
        <v>6.3789999999999996</v>
      </c>
      <c r="I249" s="6">
        <v>5552</v>
      </c>
      <c r="J249" s="4" t="s">
        <v>15</v>
      </c>
      <c r="K249" s="10" t="s">
        <v>469</v>
      </c>
      <c r="L249" s="4" t="s">
        <v>178</v>
      </c>
    </row>
    <row r="250" spans="1:12" x14ac:dyDescent="0.2">
      <c r="A250" s="4" t="s">
        <v>12</v>
      </c>
      <c r="B250" s="5">
        <v>46170</v>
      </c>
      <c r="C250" s="4">
        <v>98100</v>
      </c>
      <c r="D250" s="4" t="s">
        <v>13</v>
      </c>
      <c r="E250" s="4">
        <v>98100</v>
      </c>
      <c r="F250" s="4" t="s">
        <v>14</v>
      </c>
      <c r="G250" s="6">
        <v>0.873</v>
      </c>
      <c r="H250" s="6">
        <v>9.4670000000000005</v>
      </c>
      <c r="I250" s="6">
        <v>8240</v>
      </c>
      <c r="J250" s="4" t="s">
        <v>15</v>
      </c>
      <c r="K250" s="10" t="s">
        <v>470</v>
      </c>
      <c r="L250" s="4" t="s">
        <v>179</v>
      </c>
    </row>
    <row r="251" spans="1:12" x14ac:dyDescent="0.2">
      <c r="A251" s="4" t="s">
        <v>12</v>
      </c>
      <c r="B251" s="5">
        <v>46170</v>
      </c>
      <c r="C251" s="4">
        <v>102400</v>
      </c>
      <c r="D251" s="4" t="s">
        <v>13</v>
      </c>
      <c r="E251" s="4">
        <v>1024</v>
      </c>
      <c r="F251" s="4" t="s">
        <v>17</v>
      </c>
      <c r="G251" s="6">
        <v>1.0069999999999999</v>
      </c>
      <c r="H251" s="6">
        <v>8.2029999999999994</v>
      </c>
      <c r="I251" s="6">
        <v>3502</v>
      </c>
      <c r="J251" s="4" t="s">
        <v>15</v>
      </c>
      <c r="K251" s="10" t="s">
        <v>474</v>
      </c>
      <c r="L251" s="4" t="s">
        <v>180</v>
      </c>
    </row>
    <row r="252" spans="1:12" x14ac:dyDescent="0.2">
      <c r="A252" s="4" t="s">
        <v>12</v>
      </c>
      <c r="B252" s="5">
        <v>46170</v>
      </c>
      <c r="C252" s="4">
        <v>10500</v>
      </c>
      <c r="D252" s="4" t="s">
        <v>13</v>
      </c>
      <c r="E252" s="4">
        <v>210</v>
      </c>
      <c r="F252" s="4" t="s">
        <v>17</v>
      </c>
      <c r="G252" s="6">
        <v>5.3999999999999999E-2</v>
      </c>
      <c r="H252" s="6">
        <v>0.03</v>
      </c>
      <c r="I252" s="6">
        <v>201</v>
      </c>
      <c r="J252" s="4" t="s">
        <v>15</v>
      </c>
      <c r="K252" s="10" t="s">
        <v>475</v>
      </c>
      <c r="L252" s="4" t="s">
        <v>181</v>
      </c>
    </row>
    <row r="253" spans="1:12" x14ac:dyDescent="0.2">
      <c r="A253" s="4" t="s">
        <v>12</v>
      </c>
      <c r="B253" s="5">
        <v>46170</v>
      </c>
      <c r="C253" s="4">
        <v>810</v>
      </c>
      <c r="D253" s="4" t="s">
        <v>13</v>
      </c>
      <c r="E253" s="4">
        <v>810</v>
      </c>
      <c r="F253" s="4" t="s">
        <v>14</v>
      </c>
      <c r="G253" s="6">
        <v>0.154</v>
      </c>
      <c r="H253" s="6">
        <v>0.84199999999999997</v>
      </c>
      <c r="I253" s="6">
        <v>4965</v>
      </c>
      <c r="J253" s="4" t="s">
        <v>15</v>
      </c>
      <c r="K253" s="10" t="s">
        <v>476</v>
      </c>
      <c r="L253" s="4" t="s">
        <v>182</v>
      </c>
    </row>
    <row r="254" spans="1:12" x14ac:dyDescent="0.2">
      <c r="A254" s="4" t="s">
        <v>12</v>
      </c>
      <c r="B254" s="5">
        <v>46170</v>
      </c>
      <c r="C254" s="4">
        <v>58</v>
      </c>
      <c r="D254" s="4" t="s">
        <v>13</v>
      </c>
      <c r="E254" s="4">
        <v>58</v>
      </c>
      <c r="F254" s="4" t="s">
        <v>14</v>
      </c>
      <c r="G254" s="6">
        <v>1.4999999999999999E-2</v>
      </c>
      <c r="H254" s="6">
        <v>0.185</v>
      </c>
      <c r="I254" s="6">
        <v>39</v>
      </c>
      <c r="J254" s="4" t="s">
        <v>15</v>
      </c>
      <c r="K254" s="10" t="s">
        <v>77</v>
      </c>
      <c r="L254" s="4" t="s">
        <v>221</v>
      </c>
    </row>
    <row r="255" spans="1:12" x14ac:dyDescent="0.2">
      <c r="A255" s="4" t="s">
        <v>12</v>
      </c>
      <c r="B255" s="5">
        <v>46170</v>
      </c>
      <c r="C255" s="4">
        <v>150</v>
      </c>
      <c r="D255" s="4" t="s">
        <v>13</v>
      </c>
      <c r="E255" s="4">
        <v>150</v>
      </c>
      <c r="F255" s="4" t="s">
        <v>14</v>
      </c>
      <c r="G255" s="6">
        <v>3.7999999999999999E-2</v>
      </c>
      <c r="H255" s="6">
        <v>0.46100000000000002</v>
      </c>
      <c r="I255" s="6">
        <v>98</v>
      </c>
      <c r="J255" s="4" t="s">
        <v>15</v>
      </c>
      <c r="K255" s="10" t="s">
        <v>77</v>
      </c>
      <c r="L255" s="4" t="s">
        <v>221</v>
      </c>
    </row>
    <row r="256" spans="1:12" x14ac:dyDescent="0.2">
      <c r="A256" s="4" t="s">
        <v>12</v>
      </c>
      <c r="B256" s="5">
        <v>46170</v>
      </c>
      <c r="C256" s="4">
        <v>360</v>
      </c>
      <c r="D256" s="4" t="s">
        <v>13</v>
      </c>
      <c r="E256" s="4">
        <v>360</v>
      </c>
      <c r="F256" s="4" t="s">
        <v>14</v>
      </c>
      <c r="G256" s="6">
        <v>9.0999999999999998E-2</v>
      </c>
      <c r="H256" s="6">
        <v>1.107</v>
      </c>
      <c r="I256" s="6">
        <v>234</v>
      </c>
      <c r="J256" s="4" t="s">
        <v>15</v>
      </c>
      <c r="K256" s="10" t="s">
        <v>77</v>
      </c>
      <c r="L256" s="4" t="s">
        <v>221</v>
      </c>
    </row>
    <row r="257" spans="1:12" x14ac:dyDescent="0.2">
      <c r="A257" s="4" t="s">
        <v>12</v>
      </c>
      <c r="B257" s="5">
        <v>46170</v>
      </c>
      <c r="C257" s="4">
        <v>390</v>
      </c>
      <c r="D257" s="4" t="s">
        <v>13</v>
      </c>
      <c r="E257" s="4">
        <v>390</v>
      </c>
      <c r="F257" s="4" t="s">
        <v>14</v>
      </c>
      <c r="G257" s="6">
        <v>9.9000000000000005E-2</v>
      </c>
      <c r="H257" s="6">
        <v>1.2</v>
      </c>
      <c r="I257" s="6">
        <v>254</v>
      </c>
      <c r="J257" s="4" t="s">
        <v>15</v>
      </c>
      <c r="K257" s="10" t="s">
        <v>77</v>
      </c>
      <c r="L257" s="4" t="s">
        <v>221</v>
      </c>
    </row>
    <row r="258" spans="1:12" x14ac:dyDescent="0.2">
      <c r="A258" s="4" t="s">
        <v>12</v>
      </c>
      <c r="B258" s="5">
        <v>46170</v>
      </c>
      <c r="C258" s="4">
        <v>30</v>
      </c>
      <c r="D258" s="4" t="s">
        <v>13</v>
      </c>
      <c r="E258" s="4">
        <v>30</v>
      </c>
      <c r="F258" s="4" t="s">
        <v>14</v>
      </c>
      <c r="G258" s="6">
        <v>8.0000000000000002E-3</v>
      </c>
      <c r="H258" s="6">
        <v>9.1999999999999998E-2</v>
      </c>
      <c r="I258" s="6">
        <v>20</v>
      </c>
      <c r="J258" s="4" t="s">
        <v>15</v>
      </c>
      <c r="K258" s="10" t="s">
        <v>77</v>
      </c>
      <c r="L258" s="4" t="s">
        <v>221</v>
      </c>
    </row>
    <row r="259" spans="1:12" x14ac:dyDescent="0.2">
      <c r="A259" s="4" t="s">
        <v>12</v>
      </c>
      <c r="B259" s="5">
        <v>46170</v>
      </c>
      <c r="C259" s="4">
        <v>36500</v>
      </c>
      <c r="D259" s="4" t="s">
        <v>13</v>
      </c>
      <c r="E259" s="4">
        <v>730</v>
      </c>
      <c r="F259" s="4" t="s">
        <v>17</v>
      </c>
      <c r="G259" s="6">
        <v>0.188</v>
      </c>
      <c r="H259" s="6">
        <v>0.105</v>
      </c>
      <c r="I259" s="6">
        <v>699</v>
      </c>
      <c r="J259" s="4" t="s">
        <v>15</v>
      </c>
      <c r="K259" s="10" t="s">
        <v>489</v>
      </c>
      <c r="L259" s="4" t="s">
        <v>222</v>
      </c>
    </row>
    <row r="260" spans="1:12" x14ac:dyDescent="0.2">
      <c r="A260" s="4" t="s">
        <v>12</v>
      </c>
      <c r="B260" s="5">
        <v>46170</v>
      </c>
      <c r="C260" s="4">
        <v>532825</v>
      </c>
      <c r="D260" s="4" t="s">
        <v>13</v>
      </c>
      <c r="E260" s="4">
        <v>21313</v>
      </c>
      <c r="F260" s="4" t="s">
        <v>17</v>
      </c>
      <c r="G260" s="6">
        <v>6.3940000000000001</v>
      </c>
      <c r="H260" s="6">
        <v>19.375</v>
      </c>
      <c r="I260" s="6">
        <v>90580</v>
      </c>
      <c r="J260" s="4" t="s">
        <v>15</v>
      </c>
      <c r="K260" s="10" t="s">
        <v>478</v>
      </c>
      <c r="L260" s="4" t="s">
        <v>223</v>
      </c>
    </row>
    <row r="261" spans="1:12" x14ac:dyDescent="0.2">
      <c r="A261" s="4" t="s">
        <v>12</v>
      </c>
      <c r="B261" s="5">
        <v>46170</v>
      </c>
      <c r="C261" s="4">
        <v>528775</v>
      </c>
      <c r="D261" s="4" t="s">
        <v>13</v>
      </c>
      <c r="E261" s="4">
        <v>21151</v>
      </c>
      <c r="F261" s="4" t="s">
        <v>17</v>
      </c>
      <c r="G261" s="6">
        <v>6.3449999999999998</v>
      </c>
      <c r="H261" s="6">
        <v>19.228000000000002</v>
      </c>
      <c r="I261" s="6">
        <v>89892</v>
      </c>
      <c r="J261" s="4" t="s">
        <v>15</v>
      </c>
      <c r="K261" s="10" t="s">
        <v>490</v>
      </c>
      <c r="L261" s="4" t="s">
        <v>224</v>
      </c>
    </row>
    <row r="262" spans="1:12" x14ac:dyDescent="0.2">
      <c r="A262" s="4" t="s">
        <v>12</v>
      </c>
      <c r="B262" s="5">
        <v>46170</v>
      </c>
      <c r="C262" s="4">
        <v>530875</v>
      </c>
      <c r="D262" s="4" t="s">
        <v>13</v>
      </c>
      <c r="E262" s="4">
        <v>21235</v>
      </c>
      <c r="F262" s="4" t="s">
        <v>17</v>
      </c>
      <c r="G262" s="6">
        <v>6.7949999999999999</v>
      </c>
      <c r="H262" s="6">
        <v>19.305</v>
      </c>
      <c r="I262" s="6">
        <v>90249</v>
      </c>
      <c r="J262" s="4" t="s">
        <v>15</v>
      </c>
      <c r="K262" s="10" t="s">
        <v>490</v>
      </c>
      <c r="L262" s="4" t="s">
        <v>225</v>
      </c>
    </row>
    <row r="263" spans="1:12" x14ac:dyDescent="0.2">
      <c r="A263" s="4" t="s">
        <v>12</v>
      </c>
      <c r="B263" s="5">
        <v>46170</v>
      </c>
      <c r="C263" s="4">
        <v>526625</v>
      </c>
      <c r="D263" s="4" t="s">
        <v>13</v>
      </c>
      <c r="E263" s="4">
        <v>21065</v>
      </c>
      <c r="F263" s="4" t="s">
        <v>17</v>
      </c>
      <c r="G263" s="6">
        <v>6.7409999999999997</v>
      </c>
      <c r="H263" s="6">
        <v>19.149999999999999</v>
      </c>
      <c r="I263" s="6">
        <v>89526</v>
      </c>
      <c r="J263" s="4" t="s">
        <v>15</v>
      </c>
      <c r="K263" s="10" t="s">
        <v>490</v>
      </c>
      <c r="L263" s="4" t="s">
        <v>226</v>
      </c>
    </row>
    <row r="264" spans="1:12" x14ac:dyDescent="0.2">
      <c r="A264" s="4" t="s">
        <v>12</v>
      </c>
      <c r="B264" s="5">
        <v>46170</v>
      </c>
      <c r="C264" s="4">
        <v>31350</v>
      </c>
      <c r="D264" s="4" t="s">
        <v>13</v>
      </c>
      <c r="E264" s="4">
        <v>1254</v>
      </c>
      <c r="F264" s="4" t="s">
        <v>17</v>
      </c>
      <c r="G264" s="6">
        <v>0.40100000000000002</v>
      </c>
      <c r="H264" s="6">
        <v>1.389</v>
      </c>
      <c r="I264" s="6">
        <v>5330</v>
      </c>
      <c r="J264" s="4" t="s">
        <v>15</v>
      </c>
      <c r="K264" s="10" t="s">
        <v>490</v>
      </c>
      <c r="L264" s="4" t="s">
        <v>227</v>
      </c>
    </row>
    <row r="265" spans="1:12" x14ac:dyDescent="0.2">
      <c r="A265" s="4" t="s">
        <v>12</v>
      </c>
      <c r="B265" s="5">
        <v>46170</v>
      </c>
      <c r="C265" s="4">
        <v>5525</v>
      </c>
      <c r="D265" s="4" t="s">
        <v>13</v>
      </c>
      <c r="E265" s="4">
        <v>221</v>
      </c>
      <c r="F265" s="4" t="s">
        <v>17</v>
      </c>
      <c r="G265" s="6">
        <v>6.6000000000000003E-2</v>
      </c>
      <c r="H265" s="6">
        <v>0.2</v>
      </c>
      <c r="I265" s="6">
        <v>939</v>
      </c>
      <c r="J265" s="4" t="s">
        <v>15</v>
      </c>
      <c r="K265" s="10" t="s">
        <v>490</v>
      </c>
      <c r="L265" s="4" t="s">
        <v>228</v>
      </c>
    </row>
    <row r="266" spans="1:12" x14ac:dyDescent="0.2">
      <c r="A266" s="4" t="s">
        <v>12</v>
      </c>
      <c r="B266" s="5">
        <v>46170</v>
      </c>
      <c r="C266" s="4">
        <v>131025</v>
      </c>
      <c r="D266" s="4" t="s">
        <v>13</v>
      </c>
      <c r="E266" s="4">
        <v>5241</v>
      </c>
      <c r="F266" s="4" t="s">
        <v>17</v>
      </c>
      <c r="G266" s="6">
        <v>1.5720000000000001</v>
      </c>
      <c r="H266" s="6">
        <v>4.7649999999999997</v>
      </c>
      <c r="I266" s="6">
        <v>22274</v>
      </c>
      <c r="J266" s="4" t="s">
        <v>15</v>
      </c>
      <c r="K266" s="10" t="s">
        <v>478</v>
      </c>
      <c r="L266" s="4" t="s">
        <v>229</v>
      </c>
    </row>
    <row r="267" spans="1:12" x14ac:dyDescent="0.2">
      <c r="A267" s="4" t="s">
        <v>12</v>
      </c>
      <c r="B267" s="5">
        <v>46170</v>
      </c>
      <c r="C267" s="4">
        <v>229500</v>
      </c>
      <c r="D267" s="4" t="s">
        <v>13</v>
      </c>
      <c r="E267" s="4">
        <v>9180</v>
      </c>
      <c r="F267" s="4" t="s">
        <v>17</v>
      </c>
      <c r="G267" s="6">
        <v>2.754</v>
      </c>
      <c r="H267" s="6">
        <v>8.3450000000000006</v>
      </c>
      <c r="I267" s="6">
        <v>39015</v>
      </c>
      <c r="J267" s="4" t="s">
        <v>15</v>
      </c>
      <c r="K267" s="10" t="s">
        <v>478</v>
      </c>
      <c r="L267" s="4" t="s">
        <v>230</v>
      </c>
    </row>
    <row r="268" spans="1:12" x14ac:dyDescent="0.2">
      <c r="A268" s="4" t="s">
        <v>12</v>
      </c>
      <c r="B268" s="5">
        <v>46170</v>
      </c>
      <c r="C268" s="4">
        <v>188025</v>
      </c>
      <c r="D268" s="4" t="s">
        <v>13</v>
      </c>
      <c r="E268" s="4">
        <v>7521</v>
      </c>
      <c r="F268" s="4" t="s">
        <v>17</v>
      </c>
      <c r="G268" s="6">
        <v>2.2559999999999998</v>
      </c>
      <c r="H268" s="6">
        <v>6.8369999999999997</v>
      </c>
      <c r="I268" s="6">
        <v>31964</v>
      </c>
      <c r="J268" s="4" t="s">
        <v>15</v>
      </c>
      <c r="K268" s="10" t="s">
        <v>478</v>
      </c>
      <c r="L268" s="4" t="s">
        <v>231</v>
      </c>
    </row>
    <row r="269" spans="1:12" x14ac:dyDescent="0.2">
      <c r="A269" s="4" t="s">
        <v>12</v>
      </c>
      <c r="B269" s="5">
        <v>46170</v>
      </c>
      <c r="C269" s="4">
        <v>243025</v>
      </c>
      <c r="D269" s="4" t="s">
        <v>13</v>
      </c>
      <c r="E269" s="4">
        <v>9721</v>
      </c>
      <c r="F269" s="4" t="s">
        <v>17</v>
      </c>
      <c r="G269" s="6">
        <v>2.9159999999999999</v>
      </c>
      <c r="H269" s="6">
        <v>8.8369999999999997</v>
      </c>
      <c r="I269" s="6">
        <v>41314</v>
      </c>
      <c r="J269" s="4" t="s">
        <v>15</v>
      </c>
      <c r="K269" s="10" t="s">
        <v>478</v>
      </c>
      <c r="L269" s="4" t="s">
        <v>232</v>
      </c>
    </row>
    <row r="270" spans="1:12" x14ac:dyDescent="0.2">
      <c r="A270" s="4" t="s">
        <v>12</v>
      </c>
      <c r="B270" s="5">
        <v>46170</v>
      </c>
      <c r="C270" s="4">
        <v>514600</v>
      </c>
      <c r="D270" s="4" t="s">
        <v>13</v>
      </c>
      <c r="E270" s="4">
        <v>20584</v>
      </c>
      <c r="F270" s="4" t="s">
        <v>17</v>
      </c>
      <c r="G270" s="6">
        <v>6.1749999999999998</v>
      </c>
      <c r="H270" s="6">
        <v>18.713000000000001</v>
      </c>
      <c r="I270" s="6">
        <v>87482</v>
      </c>
      <c r="J270" s="4" t="s">
        <v>15</v>
      </c>
      <c r="K270" s="10" t="s">
        <v>478</v>
      </c>
      <c r="L270" s="4" t="s">
        <v>233</v>
      </c>
    </row>
    <row r="271" spans="1:12" x14ac:dyDescent="0.2">
      <c r="A271" s="4" t="s">
        <v>12</v>
      </c>
      <c r="B271" s="5">
        <v>46170</v>
      </c>
      <c r="C271" s="4">
        <v>535625</v>
      </c>
      <c r="D271" s="4" t="s">
        <v>13</v>
      </c>
      <c r="E271" s="4">
        <v>21425</v>
      </c>
      <c r="F271" s="4" t="s">
        <v>17</v>
      </c>
      <c r="G271" s="6">
        <v>6.8559999999999999</v>
      </c>
      <c r="H271" s="6">
        <v>19.477</v>
      </c>
      <c r="I271" s="6">
        <v>91056</v>
      </c>
      <c r="J271" s="4" t="s">
        <v>15</v>
      </c>
      <c r="K271" s="10" t="s">
        <v>478</v>
      </c>
      <c r="L271" s="4" t="s">
        <v>234</v>
      </c>
    </row>
    <row r="272" spans="1:12" x14ac:dyDescent="0.2">
      <c r="A272" s="4" t="s">
        <v>12</v>
      </c>
      <c r="B272" s="5">
        <v>46170</v>
      </c>
      <c r="C272" s="4">
        <v>511650</v>
      </c>
      <c r="D272" s="4" t="s">
        <v>13</v>
      </c>
      <c r="E272" s="4">
        <v>20466</v>
      </c>
      <c r="F272" s="4" t="s">
        <v>17</v>
      </c>
      <c r="G272" s="6">
        <v>6.5490000000000004</v>
      </c>
      <c r="H272" s="6">
        <v>18.605</v>
      </c>
      <c r="I272" s="6">
        <v>86981</v>
      </c>
      <c r="J272" s="4" t="s">
        <v>15</v>
      </c>
      <c r="K272" s="10" t="s">
        <v>478</v>
      </c>
      <c r="L272" s="4" t="s">
        <v>235</v>
      </c>
    </row>
    <row r="273" spans="1:12" x14ac:dyDescent="0.2">
      <c r="A273" s="4" t="s">
        <v>12</v>
      </c>
      <c r="B273" s="5">
        <v>46170</v>
      </c>
      <c r="C273" s="4">
        <v>24060</v>
      </c>
      <c r="D273" s="4" t="s">
        <v>13</v>
      </c>
      <c r="E273" s="4">
        <v>1203</v>
      </c>
      <c r="F273" s="4" t="s">
        <v>17</v>
      </c>
      <c r="G273" s="6">
        <v>13.834</v>
      </c>
      <c r="H273" s="6">
        <v>26.779</v>
      </c>
      <c r="I273" s="6">
        <v>4331</v>
      </c>
      <c r="J273" s="4" t="s">
        <v>15</v>
      </c>
      <c r="K273" s="10" t="s">
        <v>491</v>
      </c>
      <c r="L273" s="4" t="s">
        <v>236</v>
      </c>
    </row>
    <row r="274" spans="1:12" x14ac:dyDescent="0.2">
      <c r="A274" s="4" t="s">
        <v>12</v>
      </c>
      <c r="B274" s="5">
        <v>46170</v>
      </c>
      <c r="C274" s="4">
        <v>5940</v>
      </c>
      <c r="D274" s="4" t="s">
        <v>13</v>
      </c>
      <c r="E274" s="4">
        <v>297</v>
      </c>
      <c r="F274" s="4" t="s">
        <v>17</v>
      </c>
      <c r="G274" s="6">
        <v>3.415</v>
      </c>
      <c r="H274" s="6">
        <v>6.6109999999999998</v>
      </c>
      <c r="I274" s="6">
        <v>1069</v>
      </c>
      <c r="J274" s="4" t="s">
        <v>15</v>
      </c>
      <c r="K274" s="10" t="s">
        <v>491</v>
      </c>
      <c r="L274" s="4" t="s">
        <v>237</v>
      </c>
    </row>
    <row r="275" spans="1:12" x14ac:dyDescent="0.2">
      <c r="A275" s="4" t="s">
        <v>12</v>
      </c>
      <c r="B275" s="5">
        <v>46170</v>
      </c>
      <c r="C275" s="4">
        <v>600</v>
      </c>
      <c r="D275" s="4" t="s">
        <v>13</v>
      </c>
      <c r="E275" s="4">
        <v>12</v>
      </c>
      <c r="F275" s="4" t="s">
        <v>219</v>
      </c>
      <c r="G275" s="6">
        <v>0.38400000000000001</v>
      </c>
      <c r="H275" s="6">
        <v>1.3169999999999999</v>
      </c>
      <c r="I275" s="6">
        <v>1392</v>
      </c>
      <c r="J275" s="4" t="s">
        <v>15</v>
      </c>
      <c r="K275" s="10" t="s">
        <v>20</v>
      </c>
      <c r="L275" s="4" t="s">
        <v>220</v>
      </c>
    </row>
    <row r="276" spans="1:12" x14ac:dyDescent="0.2">
      <c r="A276" s="4" t="s">
        <v>12</v>
      </c>
      <c r="B276" s="5">
        <v>46170</v>
      </c>
      <c r="C276" s="4">
        <v>14</v>
      </c>
      <c r="D276" s="4" t="s">
        <v>13</v>
      </c>
      <c r="E276" s="4">
        <v>14</v>
      </c>
      <c r="F276" s="4" t="s">
        <v>14</v>
      </c>
      <c r="G276" s="6">
        <v>8.9999999999999993E-3</v>
      </c>
      <c r="H276" s="6">
        <v>3.1E-2</v>
      </c>
      <c r="I276" s="6">
        <v>32</v>
      </c>
      <c r="J276" s="4" t="s">
        <v>15</v>
      </c>
      <c r="K276" s="10" t="s">
        <v>20</v>
      </c>
      <c r="L276" s="4" t="s">
        <v>220</v>
      </c>
    </row>
    <row r="277" spans="1:12" x14ac:dyDescent="0.2">
      <c r="A277" s="4" t="s">
        <v>12</v>
      </c>
      <c r="B277" s="5">
        <v>46170</v>
      </c>
      <c r="C277" s="4">
        <v>550</v>
      </c>
      <c r="D277" s="4" t="s">
        <v>13</v>
      </c>
      <c r="E277" s="4">
        <v>11</v>
      </c>
      <c r="F277" s="4" t="s">
        <v>219</v>
      </c>
      <c r="G277" s="6">
        <v>0.35199999999999998</v>
      </c>
      <c r="H277" s="6">
        <v>1.2070000000000001</v>
      </c>
      <c r="I277" s="6">
        <v>1276</v>
      </c>
      <c r="J277" s="4" t="s">
        <v>15</v>
      </c>
      <c r="K277" s="10" t="s">
        <v>20</v>
      </c>
      <c r="L277" s="4" t="s">
        <v>220</v>
      </c>
    </row>
    <row r="278" spans="1:12" x14ac:dyDescent="0.2">
      <c r="A278" s="4" t="s">
        <v>12</v>
      </c>
      <c r="B278" s="5">
        <v>46170</v>
      </c>
      <c r="C278" s="4">
        <v>50</v>
      </c>
      <c r="D278" s="4" t="s">
        <v>13</v>
      </c>
      <c r="E278" s="4">
        <v>1</v>
      </c>
      <c r="F278" s="4" t="s">
        <v>219</v>
      </c>
      <c r="G278" s="6">
        <v>3.2000000000000001E-2</v>
      </c>
      <c r="H278" s="6">
        <v>0.11</v>
      </c>
      <c r="I278" s="6">
        <v>116</v>
      </c>
      <c r="J278" s="4" t="s">
        <v>15</v>
      </c>
      <c r="K278" s="10" t="s">
        <v>20</v>
      </c>
      <c r="L278" s="4" t="s">
        <v>220</v>
      </c>
    </row>
    <row r="279" spans="1:12" x14ac:dyDescent="0.2">
      <c r="A279" s="4" t="s">
        <v>238</v>
      </c>
      <c r="B279" s="5">
        <v>46170</v>
      </c>
      <c r="C279" s="4">
        <v>1006</v>
      </c>
      <c r="D279" s="4" t="s">
        <v>13</v>
      </c>
      <c r="E279" s="4">
        <v>1006</v>
      </c>
      <c r="F279" s="4" t="s">
        <v>14</v>
      </c>
      <c r="G279" s="6">
        <v>0.52300000000000002</v>
      </c>
      <c r="H279" s="6">
        <v>2.8969999999999998</v>
      </c>
      <c r="I279" s="6">
        <v>1720</v>
      </c>
      <c r="J279" s="4" t="s">
        <v>15</v>
      </c>
      <c r="K279" s="10" t="s">
        <v>367</v>
      </c>
      <c r="L279" s="4" t="s">
        <v>16</v>
      </c>
    </row>
    <row r="280" spans="1:12" x14ac:dyDescent="0.2">
      <c r="A280" s="4" t="s">
        <v>238</v>
      </c>
      <c r="B280" s="5">
        <v>46170</v>
      </c>
      <c r="C280" s="4">
        <v>194688</v>
      </c>
      <c r="D280" s="4" t="s">
        <v>13</v>
      </c>
      <c r="E280" s="4">
        <v>1352</v>
      </c>
      <c r="F280" s="4" t="s">
        <v>17</v>
      </c>
      <c r="G280" s="6">
        <v>0.58399999999999996</v>
      </c>
      <c r="H280" s="6">
        <v>3.1789999999999998</v>
      </c>
      <c r="I280" s="6">
        <v>3759</v>
      </c>
      <c r="J280" s="4" t="s">
        <v>15</v>
      </c>
      <c r="K280" s="10" t="s">
        <v>368</v>
      </c>
      <c r="L280" s="4" t="s">
        <v>18</v>
      </c>
    </row>
    <row r="281" spans="1:12" x14ac:dyDescent="0.2">
      <c r="A281" s="4" t="s">
        <v>238</v>
      </c>
      <c r="B281" s="5">
        <v>46170</v>
      </c>
      <c r="C281" s="4">
        <v>5760</v>
      </c>
      <c r="D281" s="4" t="s">
        <v>13</v>
      </c>
      <c r="E281" s="4">
        <v>40</v>
      </c>
      <c r="F281" s="4" t="s">
        <v>17</v>
      </c>
      <c r="G281" s="6">
        <v>1.7000000000000001E-2</v>
      </c>
      <c r="H281" s="6">
        <v>9.4E-2</v>
      </c>
      <c r="I281" s="6">
        <v>111</v>
      </c>
      <c r="J281" s="4" t="s">
        <v>15</v>
      </c>
      <c r="K281" s="10" t="s">
        <v>369</v>
      </c>
      <c r="L281" s="4" t="s">
        <v>18</v>
      </c>
    </row>
    <row r="282" spans="1:12" x14ac:dyDescent="0.2">
      <c r="A282" s="4" t="s">
        <v>238</v>
      </c>
      <c r="B282" s="5">
        <v>46170</v>
      </c>
      <c r="C282" s="4">
        <v>16200</v>
      </c>
      <c r="D282" s="4" t="s">
        <v>13</v>
      </c>
      <c r="E282" s="4">
        <v>162</v>
      </c>
      <c r="F282" s="4" t="s">
        <v>17</v>
      </c>
      <c r="G282" s="6">
        <v>0.17499999999999999</v>
      </c>
      <c r="H282" s="6">
        <v>1.1160000000000001</v>
      </c>
      <c r="I282" s="6">
        <v>6642</v>
      </c>
      <c r="J282" s="4" t="s">
        <v>15</v>
      </c>
      <c r="K282" s="10" t="s">
        <v>370</v>
      </c>
      <c r="L282" s="4" t="s">
        <v>19</v>
      </c>
    </row>
    <row r="283" spans="1:12" x14ac:dyDescent="0.2">
      <c r="A283" s="4" t="s">
        <v>238</v>
      </c>
      <c r="B283" s="5">
        <v>46170</v>
      </c>
      <c r="C283" s="4">
        <v>1130</v>
      </c>
      <c r="D283" s="4" t="s">
        <v>13</v>
      </c>
      <c r="E283" s="4">
        <v>1130</v>
      </c>
      <c r="F283" s="4" t="s">
        <v>14</v>
      </c>
      <c r="G283" s="6">
        <v>0.27100000000000002</v>
      </c>
      <c r="H283" s="6">
        <v>0.56499999999999995</v>
      </c>
      <c r="I283" s="6">
        <v>4251</v>
      </c>
      <c r="J283" s="4" t="s">
        <v>15</v>
      </c>
      <c r="K283" s="10" t="s">
        <v>20</v>
      </c>
      <c r="L283" s="4" t="s">
        <v>21</v>
      </c>
    </row>
    <row r="284" spans="1:12" x14ac:dyDescent="0.2">
      <c r="A284" s="4" t="s">
        <v>238</v>
      </c>
      <c r="B284" s="5">
        <v>46170</v>
      </c>
      <c r="C284" s="4">
        <v>14040</v>
      </c>
      <c r="D284" s="4" t="s">
        <v>13</v>
      </c>
      <c r="E284" s="4">
        <v>234</v>
      </c>
      <c r="F284" s="4" t="s">
        <v>17</v>
      </c>
      <c r="G284" s="6">
        <v>8.0000000000000002E-3</v>
      </c>
      <c r="H284" s="6">
        <v>4.2000000000000003E-2</v>
      </c>
      <c r="I284" s="6">
        <v>468</v>
      </c>
      <c r="J284" s="4" t="s">
        <v>15</v>
      </c>
      <c r="K284" s="10" t="s">
        <v>371</v>
      </c>
      <c r="L284" s="4" t="s">
        <v>22</v>
      </c>
    </row>
    <row r="285" spans="1:12" x14ac:dyDescent="0.2">
      <c r="A285" s="4" t="s">
        <v>238</v>
      </c>
      <c r="B285" s="5">
        <v>46170</v>
      </c>
      <c r="C285" s="4">
        <v>2520</v>
      </c>
      <c r="D285" s="4" t="s">
        <v>13</v>
      </c>
      <c r="E285" s="4">
        <v>42</v>
      </c>
      <c r="F285" s="4" t="s">
        <v>17</v>
      </c>
      <c r="G285" s="6">
        <v>2E-3</v>
      </c>
      <c r="H285" s="6">
        <v>8.0000000000000002E-3</v>
      </c>
      <c r="I285" s="6">
        <v>84</v>
      </c>
      <c r="J285" s="4" t="s">
        <v>15</v>
      </c>
      <c r="K285" s="10" t="s">
        <v>372</v>
      </c>
      <c r="L285" s="4" t="s">
        <v>22</v>
      </c>
    </row>
    <row r="286" spans="1:12" x14ac:dyDescent="0.2">
      <c r="A286" s="4" t="s">
        <v>238</v>
      </c>
      <c r="B286" s="5">
        <v>46170</v>
      </c>
      <c r="C286" s="4">
        <v>9511</v>
      </c>
      <c r="D286" s="4" t="s">
        <v>13</v>
      </c>
      <c r="E286" s="4">
        <v>95</v>
      </c>
      <c r="F286" s="4" t="s">
        <v>17</v>
      </c>
      <c r="G286" s="6">
        <v>0.17100000000000001</v>
      </c>
      <c r="H286" s="6">
        <v>0.47599999999999998</v>
      </c>
      <c r="I286" s="6">
        <v>6087</v>
      </c>
      <c r="J286" s="4" t="s">
        <v>15</v>
      </c>
      <c r="K286" s="10" t="s">
        <v>373</v>
      </c>
      <c r="L286" s="4" t="s">
        <v>23</v>
      </c>
    </row>
    <row r="287" spans="1:12" x14ac:dyDescent="0.2">
      <c r="A287" s="4" t="s">
        <v>238</v>
      </c>
      <c r="B287" s="5">
        <v>46170</v>
      </c>
      <c r="C287" s="4">
        <v>32600</v>
      </c>
      <c r="D287" s="4" t="s">
        <v>13</v>
      </c>
      <c r="E287" s="4">
        <v>326</v>
      </c>
      <c r="F287" s="4" t="s">
        <v>17</v>
      </c>
      <c r="G287" s="6">
        <v>0.58699999999999997</v>
      </c>
      <c r="H287" s="6">
        <v>1.63</v>
      </c>
      <c r="I287" s="6">
        <v>20864</v>
      </c>
      <c r="J287" s="4" t="s">
        <v>15</v>
      </c>
      <c r="K287" s="10" t="s">
        <v>374</v>
      </c>
      <c r="L287" s="4" t="s">
        <v>23</v>
      </c>
    </row>
    <row r="288" spans="1:12" x14ac:dyDescent="0.2">
      <c r="A288" s="4" t="s">
        <v>238</v>
      </c>
      <c r="B288" s="5">
        <v>46170</v>
      </c>
      <c r="C288" s="4">
        <v>780</v>
      </c>
      <c r="D288" s="4" t="s">
        <v>13</v>
      </c>
      <c r="E288" s="4">
        <v>13</v>
      </c>
      <c r="F288" s="4" t="s">
        <v>17</v>
      </c>
      <c r="G288" s="6">
        <v>2E-3</v>
      </c>
      <c r="H288" s="6">
        <v>5.0000000000000001E-3</v>
      </c>
      <c r="I288" s="6">
        <v>910</v>
      </c>
      <c r="J288" s="4" t="s">
        <v>15</v>
      </c>
      <c r="K288" s="10" t="s">
        <v>375</v>
      </c>
      <c r="L288" s="4" t="s">
        <v>24</v>
      </c>
    </row>
    <row r="289" spans="1:12" x14ac:dyDescent="0.2">
      <c r="A289" s="4" t="s">
        <v>238</v>
      </c>
      <c r="B289" s="5">
        <v>46170</v>
      </c>
      <c r="C289" s="4">
        <v>136416</v>
      </c>
      <c r="D289" s="4" t="s">
        <v>13</v>
      </c>
      <c r="E289" s="4">
        <v>203</v>
      </c>
      <c r="F289" s="4" t="s">
        <v>17</v>
      </c>
      <c r="G289" s="6">
        <v>0.13</v>
      </c>
      <c r="H289" s="6">
        <v>0.48699999999999999</v>
      </c>
      <c r="I289" s="6">
        <v>2590</v>
      </c>
      <c r="J289" s="4" t="s">
        <v>15</v>
      </c>
      <c r="K289" s="10" t="s">
        <v>376</v>
      </c>
      <c r="L289" s="4" t="s">
        <v>25</v>
      </c>
    </row>
    <row r="290" spans="1:12" x14ac:dyDescent="0.2">
      <c r="A290" s="4" t="s">
        <v>238</v>
      </c>
      <c r="B290" s="5">
        <v>46170</v>
      </c>
      <c r="C290" s="4">
        <v>8064</v>
      </c>
      <c r="D290" s="4" t="s">
        <v>13</v>
      </c>
      <c r="E290" s="4">
        <v>12</v>
      </c>
      <c r="F290" s="4" t="s">
        <v>17</v>
      </c>
      <c r="G290" s="6">
        <v>8.0000000000000002E-3</v>
      </c>
      <c r="H290" s="6">
        <v>3.9E-2</v>
      </c>
      <c r="I290" s="6">
        <v>156</v>
      </c>
      <c r="J290" s="4" t="s">
        <v>15</v>
      </c>
      <c r="K290" s="10" t="s">
        <v>377</v>
      </c>
      <c r="L290" s="4" t="s">
        <v>26</v>
      </c>
    </row>
    <row r="291" spans="1:12" x14ac:dyDescent="0.2">
      <c r="A291" s="4" t="s">
        <v>238</v>
      </c>
      <c r="B291" s="5">
        <v>46170</v>
      </c>
      <c r="C291" s="4">
        <v>402528</v>
      </c>
      <c r="D291" s="4" t="s">
        <v>13</v>
      </c>
      <c r="E291" s="4">
        <v>599</v>
      </c>
      <c r="F291" s="4" t="s">
        <v>17</v>
      </c>
      <c r="G291" s="6">
        <v>0.34899999999999998</v>
      </c>
      <c r="H291" s="6">
        <v>1.8160000000000001</v>
      </c>
      <c r="I291" s="6">
        <v>11782</v>
      </c>
      <c r="J291" s="4" t="s">
        <v>15</v>
      </c>
      <c r="K291" s="10" t="s">
        <v>378</v>
      </c>
      <c r="L291" s="4" t="s">
        <v>27</v>
      </c>
    </row>
    <row r="292" spans="1:12" x14ac:dyDescent="0.2">
      <c r="A292" s="4" t="s">
        <v>238</v>
      </c>
      <c r="B292" s="5">
        <v>46170</v>
      </c>
      <c r="C292" s="4">
        <v>222852</v>
      </c>
      <c r="D292" s="4" t="s">
        <v>13</v>
      </c>
      <c r="E292" s="4">
        <v>2653</v>
      </c>
      <c r="F292" s="4" t="s">
        <v>17</v>
      </c>
      <c r="G292" s="6">
        <v>0.193</v>
      </c>
      <c r="H292" s="6">
        <v>1.0049999999999999</v>
      </c>
      <c r="I292" s="6">
        <v>6394</v>
      </c>
      <c r="J292" s="4" t="s">
        <v>15</v>
      </c>
      <c r="K292" s="10" t="s">
        <v>379</v>
      </c>
      <c r="L292" s="4" t="s">
        <v>28</v>
      </c>
    </row>
    <row r="293" spans="1:12" x14ac:dyDescent="0.2">
      <c r="A293" s="4" t="s">
        <v>238</v>
      </c>
      <c r="B293" s="5">
        <v>46170</v>
      </c>
      <c r="C293" s="4">
        <v>66528</v>
      </c>
      <c r="D293" s="4" t="s">
        <v>13</v>
      </c>
      <c r="E293" s="4">
        <v>792</v>
      </c>
      <c r="F293" s="4" t="s">
        <v>17</v>
      </c>
      <c r="G293" s="6">
        <v>0.06</v>
      </c>
      <c r="H293" s="6">
        <v>0.29299999999999998</v>
      </c>
      <c r="I293" s="6">
        <v>2336</v>
      </c>
      <c r="J293" s="4" t="s">
        <v>15</v>
      </c>
      <c r="K293" s="10" t="s">
        <v>380</v>
      </c>
      <c r="L293" s="4" t="s">
        <v>29</v>
      </c>
    </row>
    <row r="294" spans="1:12" x14ac:dyDescent="0.2">
      <c r="A294" s="4" t="s">
        <v>238</v>
      </c>
      <c r="B294" s="5">
        <v>46170</v>
      </c>
      <c r="C294" s="4">
        <v>1900</v>
      </c>
      <c r="D294" s="4" t="s">
        <v>13</v>
      </c>
      <c r="E294" s="4">
        <v>19</v>
      </c>
      <c r="F294" s="4" t="s">
        <v>17</v>
      </c>
      <c r="G294" s="6">
        <v>1.0999999999999999E-2</v>
      </c>
      <c r="H294" s="6">
        <v>4.3999999999999997E-2</v>
      </c>
      <c r="I294" s="6">
        <v>67</v>
      </c>
      <c r="J294" s="4" t="s">
        <v>15</v>
      </c>
      <c r="K294" s="10" t="s">
        <v>381</v>
      </c>
      <c r="L294" s="4" t="s">
        <v>30</v>
      </c>
    </row>
    <row r="295" spans="1:12" x14ac:dyDescent="0.2">
      <c r="A295" s="4" t="s">
        <v>238</v>
      </c>
      <c r="B295" s="5">
        <v>46170</v>
      </c>
      <c r="C295" s="4">
        <v>100</v>
      </c>
      <c r="D295" s="4" t="s">
        <v>13</v>
      </c>
      <c r="E295" s="4">
        <v>1</v>
      </c>
      <c r="F295" s="4" t="s">
        <v>17</v>
      </c>
      <c r="G295" s="6">
        <v>1E-3</v>
      </c>
      <c r="H295" s="6">
        <v>2E-3</v>
      </c>
      <c r="I295" s="6">
        <v>4</v>
      </c>
      <c r="J295" s="4" t="s">
        <v>15</v>
      </c>
      <c r="K295" s="10" t="s">
        <v>381</v>
      </c>
      <c r="L295" s="4" t="s">
        <v>30</v>
      </c>
    </row>
    <row r="296" spans="1:12" x14ac:dyDescent="0.2">
      <c r="A296" s="4" t="s">
        <v>238</v>
      </c>
      <c r="B296" s="5">
        <v>46170</v>
      </c>
      <c r="C296" s="4">
        <v>3100</v>
      </c>
      <c r="D296" s="4" t="s">
        <v>13</v>
      </c>
      <c r="E296" s="4">
        <v>31</v>
      </c>
      <c r="F296" s="4" t="s">
        <v>17</v>
      </c>
      <c r="G296" s="6">
        <v>1.7999999999999999E-2</v>
      </c>
      <c r="H296" s="6">
        <v>7.2999999999999995E-2</v>
      </c>
      <c r="I296" s="6">
        <v>109</v>
      </c>
      <c r="J296" s="4" t="s">
        <v>15</v>
      </c>
      <c r="K296" s="10" t="s">
        <v>381</v>
      </c>
      <c r="L296" s="4" t="s">
        <v>30</v>
      </c>
    </row>
    <row r="297" spans="1:12" x14ac:dyDescent="0.2">
      <c r="A297" s="4" t="s">
        <v>238</v>
      </c>
      <c r="B297" s="5">
        <v>46170</v>
      </c>
      <c r="C297" s="4">
        <v>21800</v>
      </c>
      <c r="D297" s="4" t="s">
        <v>13</v>
      </c>
      <c r="E297" s="4">
        <v>38</v>
      </c>
      <c r="F297" s="4" t="s">
        <v>17</v>
      </c>
      <c r="G297" s="6">
        <v>0.13</v>
      </c>
      <c r="H297" s="6">
        <v>0.51</v>
      </c>
      <c r="I297" s="6">
        <v>763</v>
      </c>
      <c r="J297" s="4" t="s">
        <v>15</v>
      </c>
      <c r="K297" s="10" t="s">
        <v>381</v>
      </c>
      <c r="L297" s="4" t="s">
        <v>30</v>
      </c>
    </row>
    <row r="298" spans="1:12" x14ac:dyDescent="0.2">
      <c r="A298" s="4" t="s">
        <v>238</v>
      </c>
      <c r="B298" s="5">
        <v>46170</v>
      </c>
      <c r="C298" s="4">
        <v>28000</v>
      </c>
      <c r="D298" s="4" t="s">
        <v>13</v>
      </c>
      <c r="E298" s="4">
        <v>280</v>
      </c>
      <c r="F298" s="4" t="s">
        <v>17</v>
      </c>
      <c r="G298" s="6">
        <v>0.16700000000000001</v>
      </c>
      <c r="H298" s="6">
        <v>0.65500000000000003</v>
      </c>
      <c r="I298" s="6">
        <v>980</v>
      </c>
      <c r="J298" s="4" t="s">
        <v>15</v>
      </c>
      <c r="K298" s="10" t="s">
        <v>381</v>
      </c>
      <c r="L298" s="4" t="s">
        <v>30</v>
      </c>
    </row>
    <row r="299" spans="1:12" x14ac:dyDescent="0.2">
      <c r="A299" s="4" t="s">
        <v>238</v>
      </c>
      <c r="B299" s="5">
        <v>46170</v>
      </c>
      <c r="C299" s="4">
        <v>29700</v>
      </c>
      <c r="D299" s="4" t="s">
        <v>13</v>
      </c>
      <c r="E299" s="4">
        <v>297</v>
      </c>
      <c r="F299" s="4" t="s">
        <v>17</v>
      </c>
      <c r="G299" s="6">
        <v>0.17699999999999999</v>
      </c>
      <c r="H299" s="6">
        <v>0.69499999999999995</v>
      </c>
      <c r="I299" s="6">
        <v>1040</v>
      </c>
      <c r="J299" s="4" t="s">
        <v>15</v>
      </c>
      <c r="K299" s="10" t="s">
        <v>381</v>
      </c>
      <c r="L299" s="4" t="s">
        <v>30</v>
      </c>
    </row>
    <row r="300" spans="1:12" x14ac:dyDescent="0.2">
      <c r="A300" s="4" t="s">
        <v>238</v>
      </c>
      <c r="B300" s="5">
        <v>46170</v>
      </c>
      <c r="C300" s="4">
        <v>1500</v>
      </c>
      <c r="D300" s="4" t="s">
        <v>13</v>
      </c>
      <c r="E300" s="4">
        <v>15</v>
      </c>
      <c r="F300" s="4" t="s">
        <v>17</v>
      </c>
      <c r="G300" s="6">
        <v>8.9999999999999993E-3</v>
      </c>
      <c r="H300" s="6">
        <v>3.5000000000000003E-2</v>
      </c>
      <c r="I300" s="6">
        <v>53</v>
      </c>
      <c r="J300" s="4" t="s">
        <v>15</v>
      </c>
      <c r="K300" s="10" t="s">
        <v>381</v>
      </c>
      <c r="L300" s="4" t="s">
        <v>30</v>
      </c>
    </row>
    <row r="301" spans="1:12" x14ac:dyDescent="0.2">
      <c r="A301" s="4" t="s">
        <v>238</v>
      </c>
      <c r="B301" s="5">
        <v>46170</v>
      </c>
      <c r="C301" s="4">
        <v>1000</v>
      </c>
      <c r="D301" s="4" t="s">
        <v>13</v>
      </c>
      <c r="E301" s="4">
        <v>10</v>
      </c>
      <c r="F301" s="4" t="s">
        <v>17</v>
      </c>
      <c r="G301" s="6">
        <v>6.0000000000000001E-3</v>
      </c>
      <c r="H301" s="6">
        <v>2.3E-2</v>
      </c>
      <c r="I301" s="6">
        <v>35</v>
      </c>
      <c r="J301" s="4" t="s">
        <v>15</v>
      </c>
      <c r="K301" s="10" t="s">
        <v>381</v>
      </c>
      <c r="L301" s="4" t="s">
        <v>30</v>
      </c>
    </row>
    <row r="302" spans="1:12" x14ac:dyDescent="0.2">
      <c r="A302" s="4" t="s">
        <v>238</v>
      </c>
      <c r="B302" s="5">
        <v>46170</v>
      </c>
      <c r="C302" s="4">
        <v>7200</v>
      </c>
      <c r="D302" s="4" t="s">
        <v>13</v>
      </c>
      <c r="E302" s="4">
        <v>72</v>
      </c>
      <c r="F302" s="4" t="s">
        <v>17</v>
      </c>
      <c r="G302" s="6">
        <v>4.2999999999999997E-2</v>
      </c>
      <c r="H302" s="6">
        <v>0.16800000000000001</v>
      </c>
      <c r="I302" s="6">
        <v>252</v>
      </c>
      <c r="J302" s="4" t="s">
        <v>15</v>
      </c>
      <c r="K302" s="10" t="s">
        <v>381</v>
      </c>
      <c r="L302" s="4" t="s">
        <v>30</v>
      </c>
    </row>
    <row r="303" spans="1:12" x14ac:dyDescent="0.2">
      <c r="A303" s="4" t="s">
        <v>238</v>
      </c>
      <c r="B303" s="5">
        <v>46170</v>
      </c>
      <c r="C303" s="4">
        <v>1100</v>
      </c>
      <c r="D303" s="4" t="s">
        <v>13</v>
      </c>
      <c r="E303" s="4">
        <v>11</v>
      </c>
      <c r="F303" s="4" t="s">
        <v>17</v>
      </c>
      <c r="G303" s="6">
        <v>7.0000000000000001E-3</v>
      </c>
      <c r="H303" s="6">
        <v>2.5999999999999999E-2</v>
      </c>
      <c r="I303" s="6">
        <v>39</v>
      </c>
      <c r="J303" s="4" t="s">
        <v>15</v>
      </c>
      <c r="K303" s="10" t="s">
        <v>381</v>
      </c>
      <c r="L303" s="4" t="s">
        <v>30</v>
      </c>
    </row>
    <row r="304" spans="1:12" x14ac:dyDescent="0.2">
      <c r="A304" s="4" t="s">
        <v>238</v>
      </c>
      <c r="B304" s="5">
        <v>46170</v>
      </c>
      <c r="C304" s="4">
        <v>9800</v>
      </c>
      <c r="D304" s="4" t="s">
        <v>13</v>
      </c>
      <c r="E304" s="4">
        <v>98</v>
      </c>
      <c r="F304" s="4" t="s">
        <v>17</v>
      </c>
      <c r="G304" s="6">
        <v>5.8000000000000003E-2</v>
      </c>
      <c r="H304" s="6">
        <v>0.22900000000000001</v>
      </c>
      <c r="I304" s="6">
        <v>343</v>
      </c>
      <c r="J304" s="4" t="s">
        <v>15</v>
      </c>
      <c r="K304" s="10" t="s">
        <v>381</v>
      </c>
      <c r="L304" s="4" t="s">
        <v>30</v>
      </c>
    </row>
    <row r="305" spans="1:12" x14ac:dyDescent="0.2">
      <c r="A305" s="4" t="s">
        <v>238</v>
      </c>
      <c r="B305" s="5">
        <v>46170</v>
      </c>
      <c r="C305" s="4">
        <v>705120</v>
      </c>
      <c r="D305" s="4" t="s">
        <v>13</v>
      </c>
      <c r="E305" s="4">
        <v>5876</v>
      </c>
      <c r="F305" s="4" t="s">
        <v>17</v>
      </c>
      <c r="G305" s="6">
        <v>1.528</v>
      </c>
      <c r="H305" s="6">
        <v>4.1130000000000004</v>
      </c>
      <c r="I305" s="6">
        <v>105768</v>
      </c>
      <c r="J305" s="4" t="s">
        <v>15</v>
      </c>
      <c r="K305" s="10" t="s">
        <v>382</v>
      </c>
      <c r="L305" s="4" t="s">
        <v>31</v>
      </c>
    </row>
    <row r="306" spans="1:12" x14ac:dyDescent="0.2">
      <c r="A306" s="4" t="s">
        <v>238</v>
      </c>
      <c r="B306" s="5">
        <v>46170</v>
      </c>
      <c r="C306" s="4">
        <v>407760</v>
      </c>
      <c r="D306" s="4" t="s">
        <v>13</v>
      </c>
      <c r="E306" s="4">
        <v>3398</v>
      </c>
      <c r="F306" s="4" t="s">
        <v>17</v>
      </c>
      <c r="G306" s="6">
        <v>0.88300000000000001</v>
      </c>
      <c r="H306" s="6">
        <v>2.379</v>
      </c>
      <c r="I306" s="6">
        <v>61164</v>
      </c>
      <c r="J306" s="4" t="s">
        <v>15</v>
      </c>
      <c r="K306" s="10" t="s">
        <v>382</v>
      </c>
      <c r="L306" s="4" t="s">
        <v>31</v>
      </c>
    </row>
    <row r="307" spans="1:12" x14ac:dyDescent="0.2">
      <c r="A307" s="4" t="s">
        <v>238</v>
      </c>
      <c r="B307" s="5">
        <v>46170</v>
      </c>
      <c r="C307" s="4">
        <v>600</v>
      </c>
      <c r="D307" s="4" t="s">
        <v>13</v>
      </c>
      <c r="E307" s="4">
        <v>20</v>
      </c>
      <c r="F307" s="4" t="s">
        <v>17</v>
      </c>
      <c r="G307" s="6">
        <v>2E-3</v>
      </c>
      <c r="H307" s="6">
        <v>7.0000000000000001E-3</v>
      </c>
      <c r="I307" s="6">
        <v>105</v>
      </c>
      <c r="J307" s="4" t="s">
        <v>15</v>
      </c>
      <c r="K307" s="10" t="s">
        <v>383</v>
      </c>
      <c r="L307" s="4" t="s">
        <v>32</v>
      </c>
    </row>
    <row r="308" spans="1:12" x14ac:dyDescent="0.2">
      <c r="A308" s="4" t="s">
        <v>238</v>
      </c>
      <c r="B308" s="5">
        <v>46170</v>
      </c>
      <c r="C308" s="4">
        <v>92880</v>
      </c>
      <c r="D308" s="4" t="s">
        <v>13</v>
      </c>
      <c r="E308" s="4">
        <v>1548</v>
      </c>
      <c r="F308" s="4" t="s">
        <v>17</v>
      </c>
      <c r="G308" s="6">
        <v>9.2999999999999999E-2</v>
      </c>
      <c r="H308" s="6">
        <v>0.36699999999999999</v>
      </c>
      <c r="I308" s="6">
        <v>8669</v>
      </c>
      <c r="J308" s="4" t="s">
        <v>15</v>
      </c>
      <c r="K308" s="10" t="s">
        <v>384</v>
      </c>
      <c r="L308" s="4" t="s">
        <v>33</v>
      </c>
    </row>
    <row r="309" spans="1:12" x14ac:dyDescent="0.2">
      <c r="A309" s="4" t="s">
        <v>238</v>
      </c>
      <c r="B309" s="5">
        <v>46170</v>
      </c>
      <c r="C309" s="4">
        <v>115</v>
      </c>
      <c r="D309" s="4" t="s">
        <v>13</v>
      </c>
      <c r="E309" s="4">
        <v>1</v>
      </c>
      <c r="F309" s="4" t="s">
        <v>17</v>
      </c>
      <c r="G309" s="6">
        <v>0.125</v>
      </c>
      <c r="H309" s="6">
        <v>0.19700000000000001</v>
      </c>
      <c r="I309" s="6">
        <v>690</v>
      </c>
      <c r="J309" s="4" t="s">
        <v>15</v>
      </c>
      <c r="K309" s="10" t="s">
        <v>34</v>
      </c>
      <c r="L309" s="4" t="s">
        <v>35</v>
      </c>
    </row>
    <row r="310" spans="1:12" x14ac:dyDescent="0.2">
      <c r="A310" s="4" t="s">
        <v>238</v>
      </c>
      <c r="B310" s="5">
        <v>46170</v>
      </c>
      <c r="C310" s="4">
        <v>16950</v>
      </c>
      <c r="D310" s="4" t="s">
        <v>13</v>
      </c>
      <c r="E310" s="4">
        <v>113</v>
      </c>
      <c r="F310" s="4" t="s">
        <v>17</v>
      </c>
      <c r="G310" s="6">
        <v>0.17</v>
      </c>
      <c r="H310" s="6">
        <v>0.17</v>
      </c>
      <c r="I310" s="6">
        <v>2410</v>
      </c>
      <c r="J310" s="4" t="s">
        <v>15</v>
      </c>
      <c r="K310" s="10" t="s">
        <v>385</v>
      </c>
      <c r="L310" s="4" t="s">
        <v>36</v>
      </c>
    </row>
    <row r="311" spans="1:12" x14ac:dyDescent="0.2">
      <c r="A311" s="4" t="s">
        <v>238</v>
      </c>
      <c r="B311" s="5">
        <v>46170</v>
      </c>
      <c r="C311" s="4">
        <v>3000</v>
      </c>
      <c r="D311" s="4" t="s">
        <v>13</v>
      </c>
      <c r="E311" s="4">
        <v>50</v>
      </c>
      <c r="F311" s="4" t="s">
        <v>17</v>
      </c>
      <c r="G311" s="6">
        <v>5.0000000000000001E-3</v>
      </c>
      <c r="H311" s="6">
        <v>7.0999999999999994E-2</v>
      </c>
      <c r="I311" s="6">
        <v>2775</v>
      </c>
      <c r="J311" s="4" t="s">
        <v>15</v>
      </c>
      <c r="K311" s="10" t="s">
        <v>386</v>
      </c>
      <c r="L311" s="4" t="s">
        <v>37</v>
      </c>
    </row>
    <row r="312" spans="1:12" x14ac:dyDescent="0.2">
      <c r="A312" s="4" t="s">
        <v>238</v>
      </c>
      <c r="B312" s="5">
        <v>46170</v>
      </c>
      <c r="C312" s="4">
        <v>1920</v>
      </c>
      <c r="D312" s="4" t="s">
        <v>13</v>
      </c>
      <c r="E312" s="4">
        <v>32</v>
      </c>
      <c r="F312" s="4" t="s">
        <v>17</v>
      </c>
      <c r="G312" s="6">
        <v>3.0000000000000001E-3</v>
      </c>
      <c r="H312" s="6">
        <v>0.01</v>
      </c>
      <c r="I312" s="6">
        <v>194</v>
      </c>
      <c r="J312" s="4" t="s">
        <v>15</v>
      </c>
      <c r="K312" s="10" t="s">
        <v>387</v>
      </c>
      <c r="L312" s="4" t="s">
        <v>38</v>
      </c>
    </row>
    <row r="313" spans="1:12" x14ac:dyDescent="0.2">
      <c r="A313" s="4" t="s">
        <v>238</v>
      </c>
      <c r="B313" s="5">
        <v>46170</v>
      </c>
      <c r="C313" s="4">
        <v>4000</v>
      </c>
      <c r="D313" s="4" t="s">
        <v>13</v>
      </c>
      <c r="E313" s="4">
        <v>80</v>
      </c>
      <c r="F313" s="4" t="s">
        <v>17</v>
      </c>
      <c r="G313" s="6">
        <v>6.0999999999999999E-2</v>
      </c>
      <c r="H313" s="6">
        <v>0.184</v>
      </c>
      <c r="I313" s="6">
        <v>113</v>
      </c>
      <c r="J313" s="4" t="s">
        <v>15</v>
      </c>
      <c r="K313" s="10" t="s">
        <v>388</v>
      </c>
      <c r="L313" s="4" t="s">
        <v>39</v>
      </c>
    </row>
    <row r="314" spans="1:12" x14ac:dyDescent="0.2">
      <c r="A314" s="4" t="s">
        <v>238</v>
      </c>
      <c r="B314" s="5">
        <v>46170</v>
      </c>
      <c r="C314" s="4">
        <v>16800</v>
      </c>
      <c r="D314" s="4" t="s">
        <v>13</v>
      </c>
      <c r="E314" s="4">
        <v>336</v>
      </c>
      <c r="F314" s="4" t="s">
        <v>17</v>
      </c>
      <c r="G314" s="6">
        <v>0.25700000000000001</v>
      </c>
      <c r="H314" s="6">
        <v>0.77300000000000002</v>
      </c>
      <c r="I314" s="6">
        <v>474</v>
      </c>
      <c r="J314" s="4" t="s">
        <v>15</v>
      </c>
      <c r="K314" s="10" t="s">
        <v>388</v>
      </c>
      <c r="L314" s="4" t="s">
        <v>39</v>
      </c>
    </row>
    <row r="315" spans="1:12" x14ac:dyDescent="0.2">
      <c r="A315" s="4" t="s">
        <v>238</v>
      </c>
      <c r="B315" s="5">
        <v>46170</v>
      </c>
      <c r="C315" s="4">
        <v>9750</v>
      </c>
      <c r="D315" s="4" t="s">
        <v>13</v>
      </c>
      <c r="E315" s="4">
        <v>195</v>
      </c>
      <c r="F315" s="4" t="s">
        <v>17</v>
      </c>
      <c r="G315" s="6">
        <v>0.14899999999999999</v>
      </c>
      <c r="H315" s="6">
        <v>0.44900000000000001</v>
      </c>
      <c r="I315" s="6">
        <v>275</v>
      </c>
      <c r="J315" s="4" t="s">
        <v>15</v>
      </c>
      <c r="K315" s="10" t="s">
        <v>388</v>
      </c>
      <c r="L315" s="4" t="s">
        <v>39</v>
      </c>
    </row>
    <row r="316" spans="1:12" x14ac:dyDescent="0.2">
      <c r="A316" s="4" t="s">
        <v>238</v>
      </c>
      <c r="B316" s="5">
        <v>46170</v>
      </c>
      <c r="C316" s="4">
        <v>5400</v>
      </c>
      <c r="D316" s="4" t="s">
        <v>13</v>
      </c>
      <c r="E316" s="4">
        <v>90</v>
      </c>
      <c r="F316" s="4" t="s">
        <v>17</v>
      </c>
      <c r="G316" s="6">
        <v>8.0000000000000002E-3</v>
      </c>
      <c r="H316" s="6">
        <v>2.4E-2</v>
      </c>
      <c r="I316" s="6">
        <v>4995</v>
      </c>
      <c r="J316" s="4" t="s">
        <v>15</v>
      </c>
      <c r="K316" s="10" t="s">
        <v>389</v>
      </c>
      <c r="L316" s="4" t="s">
        <v>40</v>
      </c>
    </row>
    <row r="317" spans="1:12" x14ac:dyDescent="0.2">
      <c r="A317" s="4" t="s">
        <v>238</v>
      </c>
      <c r="B317" s="5">
        <v>46170</v>
      </c>
      <c r="C317" s="4">
        <v>6720</v>
      </c>
      <c r="D317" s="4" t="s">
        <v>13</v>
      </c>
      <c r="E317" s="4">
        <v>112</v>
      </c>
      <c r="F317" s="4" t="s">
        <v>17</v>
      </c>
      <c r="G317" s="6">
        <v>0.01</v>
      </c>
      <c r="H317" s="6">
        <v>2.9000000000000001E-2</v>
      </c>
      <c r="I317" s="6">
        <v>6216</v>
      </c>
      <c r="J317" s="4" t="s">
        <v>15</v>
      </c>
      <c r="K317" s="10" t="s">
        <v>389</v>
      </c>
      <c r="L317" s="4" t="s">
        <v>40</v>
      </c>
    </row>
    <row r="318" spans="1:12" x14ac:dyDescent="0.2">
      <c r="A318" s="4" t="s">
        <v>238</v>
      </c>
      <c r="B318" s="5">
        <v>46170</v>
      </c>
      <c r="C318" s="4">
        <v>15</v>
      </c>
      <c r="D318" s="4" t="s">
        <v>13</v>
      </c>
      <c r="E318" s="4">
        <v>1</v>
      </c>
      <c r="F318" s="4" t="s">
        <v>17</v>
      </c>
      <c r="G318" s="6">
        <v>1.9E-2</v>
      </c>
      <c r="H318" s="6">
        <v>1.2E-2</v>
      </c>
      <c r="I318" s="6">
        <v>0</v>
      </c>
      <c r="J318" s="4" t="s">
        <v>15</v>
      </c>
      <c r="K318" s="10" t="s">
        <v>41</v>
      </c>
      <c r="L318" s="4" t="s">
        <v>42</v>
      </c>
    </row>
    <row r="319" spans="1:12" x14ac:dyDescent="0.2">
      <c r="A319" s="4" t="s">
        <v>238</v>
      </c>
      <c r="B319" s="5">
        <v>46170</v>
      </c>
      <c r="C319" s="4">
        <v>25</v>
      </c>
      <c r="D319" s="4" t="s">
        <v>13</v>
      </c>
      <c r="E319" s="4">
        <v>1</v>
      </c>
      <c r="F319" s="4" t="s">
        <v>17</v>
      </c>
      <c r="G319" s="6">
        <v>5.0000000000000001E-3</v>
      </c>
      <c r="H319" s="6">
        <v>1.4999999999999999E-2</v>
      </c>
      <c r="I319" s="6">
        <v>0</v>
      </c>
      <c r="J319" s="4" t="s">
        <v>15</v>
      </c>
      <c r="K319" s="10" t="s">
        <v>43</v>
      </c>
      <c r="L319" s="4" t="s">
        <v>44</v>
      </c>
    </row>
    <row r="320" spans="1:12" x14ac:dyDescent="0.2">
      <c r="A320" s="4" t="s">
        <v>238</v>
      </c>
      <c r="B320" s="5">
        <v>46170</v>
      </c>
      <c r="C320" s="4">
        <v>285</v>
      </c>
      <c r="D320" s="4" t="s">
        <v>13</v>
      </c>
      <c r="E320" s="4">
        <v>1</v>
      </c>
      <c r="F320" s="4" t="s">
        <v>17</v>
      </c>
      <c r="G320" s="6">
        <v>4.7E-2</v>
      </c>
      <c r="H320" s="6">
        <v>0.20300000000000001</v>
      </c>
      <c r="I320" s="6">
        <v>0</v>
      </c>
      <c r="J320" s="4" t="s">
        <v>15</v>
      </c>
      <c r="K320" s="10" t="s">
        <v>45</v>
      </c>
      <c r="L320" s="4" t="s">
        <v>46</v>
      </c>
    </row>
    <row r="321" spans="1:12" x14ac:dyDescent="0.2">
      <c r="A321" s="4" t="s">
        <v>238</v>
      </c>
      <c r="B321" s="5">
        <v>46170</v>
      </c>
      <c r="C321" s="4">
        <v>204</v>
      </c>
      <c r="D321" s="4" t="s">
        <v>13</v>
      </c>
      <c r="E321" s="4">
        <v>204</v>
      </c>
      <c r="F321" s="4" t="s">
        <v>17</v>
      </c>
      <c r="G321" s="6">
        <v>9.8000000000000004E-2</v>
      </c>
      <c r="H321" s="6">
        <v>0.34300000000000003</v>
      </c>
      <c r="I321" s="6">
        <v>0</v>
      </c>
      <c r="J321" s="4" t="s">
        <v>15</v>
      </c>
      <c r="K321" s="10" t="s">
        <v>47</v>
      </c>
      <c r="L321" s="4" t="s">
        <v>48</v>
      </c>
    </row>
    <row r="322" spans="1:12" x14ac:dyDescent="0.2">
      <c r="A322" s="4" t="s">
        <v>238</v>
      </c>
      <c r="B322" s="5">
        <v>46170</v>
      </c>
      <c r="C322" s="4">
        <v>28</v>
      </c>
      <c r="D322" s="4" t="s">
        <v>13</v>
      </c>
      <c r="E322" s="4">
        <v>28</v>
      </c>
      <c r="F322" s="4" t="s">
        <v>14</v>
      </c>
      <c r="G322" s="6">
        <v>1E-3</v>
      </c>
      <c r="H322" s="6">
        <v>2E-3</v>
      </c>
      <c r="I322" s="6">
        <v>0</v>
      </c>
      <c r="J322" s="4" t="s">
        <v>15</v>
      </c>
      <c r="K322" s="10" t="s">
        <v>49</v>
      </c>
      <c r="L322" s="4" t="s">
        <v>50</v>
      </c>
    </row>
    <row r="323" spans="1:12" x14ac:dyDescent="0.2">
      <c r="A323" s="4" t="s">
        <v>238</v>
      </c>
      <c r="B323" s="5">
        <v>46170</v>
      </c>
      <c r="C323" s="4">
        <v>840</v>
      </c>
      <c r="D323" s="4" t="s">
        <v>13</v>
      </c>
      <c r="E323" s="4">
        <v>840</v>
      </c>
      <c r="F323" s="4" t="s">
        <v>14</v>
      </c>
      <c r="G323" s="6">
        <v>1.7000000000000001E-2</v>
      </c>
      <c r="H323" s="6">
        <v>0.27500000000000002</v>
      </c>
      <c r="I323" s="6">
        <v>0</v>
      </c>
      <c r="J323" s="4" t="s">
        <v>15</v>
      </c>
      <c r="K323" s="10" t="s">
        <v>51</v>
      </c>
      <c r="L323" s="4" t="s">
        <v>52</v>
      </c>
    </row>
    <row r="324" spans="1:12" x14ac:dyDescent="0.2">
      <c r="A324" s="4" t="s">
        <v>238</v>
      </c>
      <c r="B324" s="5">
        <v>46170</v>
      </c>
      <c r="C324" s="4">
        <v>14</v>
      </c>
      <c r="D324" s="4" t="s">
        <v>13</v>
      </c>
      <c r="E324" s="4">
        <v>14</v>
      </c>
      <c r="F324" s="4" t="s">
        <v>14</v>
      </c>
      <c r="G324" s="6">
        <v>1E-3</v>
      </c>
      <c r="H324" s="6">
        <v>4.0000000000000001E-3</v>
      </c>
      <c r="I324" s="6">
        <v>24</v>
      </c>
      <c r="J324" s="4" t="s">
        <v>15</v>
      </c>
      <c r="K324" s="10" t="s">
        <v>53</v>
      </c>
      <c r="L324" s="4" t="s">
        <v>54</v>
      </c>
    </row>
    <row r="325" spans="1:12" x14ac:dyDescent="0.2">
      <c r="A325" s="4" t="s">
        <v>238</v>
      </c>
      <c r="B325" s="5">
        <v>46170</v>
      </c>
      <c r="C325" s="4">
        <v>3600</v>
      </c>
      <c r="D325" s="4" t="s">
        <v>13</v>
      </c>
      <c r="E325" s="4">
        <v>120</v>
      </c>
      <c r="F325" s="4" t="s">
        <v>17</v>
      </c>
      <c r="G325" s="6">
        <v>0.16200000000000001</v>
      </c>
      <c r="H325" s="6">
        <v>1.63</v>
      </c>
      <c r="I325" s="6">
        <v>0</v>
      </c>
      <c r="J325" s="4" t="s">
        <v>15</v>
      </c>
      <c r="K325" s="10" t="s">
        <v>55</v>
      </c>
      <c r="L325" s="4" t="s">
        <v>56</v>
      </c>
    </row>
    <row r="326" spans="1:12" x14ac:dyDescent="0.2">
      <c r="A326" s="4" t="s">
        <v>238</v>
      </c>
      <c r="B326" s="5">
        <v>46170</v>
      </c>
      <c r="C326" s="4">
        <v>960</v>
      </c>
      <c r="D326" s="4" t="s">
        <v>13</v>
      </c>
      <c r="E326" s="4">
        <v>32</v>
      </c>
      <c r="F326" s="4" t="s">
        <v>17</v>
      </c>
      <c r="G326" s="6">
        <v>6.6000000000000003E-2</v>
      </c>
      <c r="H326" s="6">
        <v>0.66400000000000003</v>
      </c>
      <c r="I326" s="6">
        <v>0</v>
      </c>
      <c r="J326" s="4" t="s">
        <v>15</v>
      </c>
      <c r="K326" s="10" t="s">
        <v>20</v>
      </c>
      <c r="L326" s="4" t="s">
        <v>56</v>
      </c>
    </row>
    <row r="327" spans="1:12" x14ac:dyDescent="0.2">
      <c r="A327" s="4" t="s">
        <v>238</v>
      </c>
      <c r="B327" s="5">
        <v>46170</v>
      </c>
      <c r="C327" s="4">
        <v>43</v>
      </c>
      <c r="D327" s="4" t="s">
        <v>13</v>
      </c>
      <c r="E327" s="4">
        <v>43</v>
      </c>
      <c r="F327" s="4" t="s">
        <v>14</v>
      </c>
      <c r="G327" s="6">
        <v>5.0000000000000001E-3</v>
      </c>
      <c r="H327" s="6">
        <v>5.7000000000000002E-2</v>
      </c>
      <c r="I327" s="6">
        <v>0</v>
      </c>
      <c r="J327" s="4" t="s">
        <v>15</v>
      </c>
      <c r="K327" s="10" t="s">
        <v>57</v>
      </c>
      <c r="L327" s="4" t="s">
        <v>58</v>
      </c>
    </row>
    <row r="328" spans="1:12" x14ac:dyDescent="0.2">
      <c r="A328" s="4" t="s">
        <v>238</v>
      </c>
      <c r="B328" s="5">
        <v>46170</v>
      </c>
      <c r="C328" s="4">
        <v>1218</v>
      </c>
      <c r="D328" s="4" t="s">
        <v>13</v>
      </c>
      <c r="E328" s="4">
        <v>48</v>
      </c>
      <c r="F328" s="4" t="s">
        <v>17</v>
      </c>
      <c r="G328" s="6">
        <v>2.3279999999999998</v>
      </c>
      <c r="H328" s="6">
        <v>13.444000000000001</v>
      </c>
      <c r="I328" s="6">
        <v>186</v>
      </c>
      <c r="J328" s="4" t="s">
        <v>15</v>
      </c>
      <c r="K328" s="10" t="s">
        <v>59</v>
      </c>
      <c r="L328" s="4" t="s">
        <v>60</v>
      </c>
    </row>
    <row r="329" spans="1:12" x14ac:dyDescent="0.2">
      <c r="A329" s="4" t="s">
        <v>238</v>
      </c>
      <c r="B329" s="5">
        <v>46170</v>
      </c>
      <c r="C329" s="4">
        <v>1044</v>
      </c>
      <c r="D329" s="4" t="s">
        <v>13</v>
      </c>
      <c r="E329" s="4">
        <v>0</v>
      </c>
      <c r="F329" s="4" t="s">
        <v>17</v>
      </c>
      <c r="G329" s="6">
        <v>8.0909999999999993</v>
      </c>
      <c r="H329" s="6">
        <v>46.719000000000001</v>
      </c>
      <c r="I329" s="6">
        <v>647</v>
      </c>
      <c r="J329" s="4" t="s">
        <v>15</v>
      </c>
      <c r="K329" s="10" t="s">
        <v>59</v>
      </c>
      <c r="L329" s="4" t="s">
        <v>60</v>
      </c>
    </row>
    <row r="330" spans="1:12" x14ac:dyDescent="0.2">
      <c r="A330" s="4" t="s">
        <v>238</v>
      </c>
      <c r="B330" s="5">
        <v>46170</v>
      </c>
      <c r="C330" s="4">
        <v>94</v>
      </c>
      <c r="D330" s="4" t="s">
        <v>13</v>
      </c>
      <c r="E330" s="4">
        <v>94</v>
      </c>
      <c r="F330" s="4" t="s">
        <v>14</v>
      </c>
      <c r="G330" s="6">
        <v>0.72899999999999998</v>
      </c>
      <c r="H330" s="6">
        <v>4.2069999999999999</v>
      </c>
      <c r="I330" s="6">
        <v>484</v>
      </c>
      <c r="J330" s="4" t="s">
        <v>15</v>
      </c>
      <c r="K330" s="10" t="s">
        <v>59</v>
      </c>
      <c r="L330" s="4" t="s">
        <v>60</v>
      </c>
    </row>
    <row r="331" spans="1:12" x14ac:dyDescent="0.2">
      <c r="A331" s="4" t="s">
        <v>238</v>
      </c>
      <c r="B331" s="5">
        <v>46170</v>
      </c>
      <c r="C331" s="4">
        <v>300</v>
      </c>
      <c r="D331" s="4" t="s">
        <v>13</v>
      </c>
      <c r="E331" s="4">
        <v>3</v>
      </c>
      <c r="F331" s="4" t="s">
        <v>17</v>
      </c>
      <c r="G331" s="6">
        <v>3.0000000000000001E-3</v>
      </c>
      <c r="H331" s="6">
        <v>2.1000000000000001E-2</v>
      </c>
      <c r="I331" s="6">
        <v>122</v>
      </c>
      <c r="J331" s="4" t="s">
        <v>15</v>
      </c>
      <c r="K331" s="10" t="s">
        <v>370</v>
      </c>
      <c r="L331" s="4" t="s">
        <v>61</v>
      </c>
    </row>
    <row r="332" spans="1:12" x14ac:dyDescent="0.2">
      <c r="A332" s="4" t="s">
        <v>238</v>
      </c>
      <c r="B332" s="5">
        <v>46170</v>
      </c>
      <c r="C332" s="4">
        <v>549</v>
      </c>
      <c r="D332" s="4" t="s">
        <v>13</v>
      </c>
      <c r="E332" s="4">
        <v>549</v>
      </c>
      <c r="F332" s="4" t="s">
        <v>14</v>
      </c>
      <c r="G332" s="6">
        <v>8.0000000000000002E-3</v>
      </c>
      <c r="H332" s="6">
        <v>4.9000000000000002E-2</v>
      </c>
      <c r="I332" s="6">
        <v>0</v>
      </c>
      <c r="J332" s="4" t="s">
        <v>15</v>
      </c>
      <c r="K332" s="10" t="s">
        <v>62</v>
      </c>
      <c r="L332" s="4" t="s">
        <v>63</v>
      </c>
    </row>
    <row r="333" spans="1:12" x14ac:dyDescent="0.2">
      <c r="A333" s="4" t="s">
        <v>238</v>
      </c>
      <c r="B333" s="5">
        <v>46170</v>
      </c>
      <c r="C333" s="4">
        <v>2</v>
      </c>
      <c r="D333" s="4" t="s">
        <v>13</v>
      </c>
      <c r="E333" s="4">
        <v>2</v>
      </c>
      <c r="F333" s="4" t="s">
        <v>14</v>
      </c>
      <c r="G333" s="6">
        <v>4.0000000000000001E-3</v>
      </c>
      <c r="H333" s="6">
        <v>1E-3</v>
      </c>
      <c r="I333" s="6">
        <v>0</v>
      </c>
      <c r="J333" s="4" t="s">
        <v>15</v>
      </c>
      <c r="K333" s="10" t="s">
        <v>64</v>
      </c>
      <c r="L333" s="4" t="s">
        <v>65</v>
      </c>
    </row>
    <row r="334" spans="1:12" x14ac:dyDescent="0.2">
      <c r="A334" s="4" t="s">
        <v>238</v>
      </c>
      <c r="B334" s="5">
        <v>46170</v>
      </c>
      <c r="C334" s="4">
        <v>23</v>
      </c>
      <c r="D334" s="4" t="s">
        <v>13</v>
      </c>
      <c r="E334" s="4">
        <v>23</v>
      </c>
      <c r="F334" s="4" t="s">
        <v>14</v>
      </c>
      <c r="G334" s="6">
        <v>0</v>
      </c>
      <c r="H334" s="6">
        <v>1.7000000000000001E-2</v>
      </c>
      <c r="I334" s="6">
        <v>0</v>
      </c>
      <c r="J334" s="4" t="s">
        <v>15</v>
      </c>
      <c r="K334" s="10" t="s">
        <v>66</v>
      </c>
      <c r="L334" s="4" t="s">
        <v>67</v>
      </c>
    </row>
    <row r="335" spans="1:12" x14ac:dyDescent="0.2">
      <c r="A335" s="4" t="s">
        <v>238</v>
      </c>
      <c r="B335" s="5">
        <v>46170</v>
      </c>
      <c r="C335" s="4">
        <v>38</v>
      </c>
      <c r="D335" s="4" t="s">
        <v>13</v>
      </c>
      <c r="E335" s="4">
        <v>38</v>
      </c>
      <c r="F335" s="4" t="s">
        <v>14</v>
      </c>
      <c r="G335" s="6">
        <v>5.0000000000000001E-3</v>
      </c>
      <c r="H335" s="6">
        <v>1.2999999999999999E-2</v>
      </c>
      <c r="I335" s="6">
        <v>0</v>
      </c>
      <c r="J335" s="4" t="s">
        <v>15</v>
      </c>
      <c r="K335" s="10" t="s">
        <v>68</v>
      </c>
      <c r="L335" s="4" t="s">
        <v>69</v>
      </c>
    </row>
    <row r="336" spans="1:12" x14ac:dyDescent="0.2">
      <c r="A336" s="4" t="s">
        <v>238</v>
      </c>
      <c r="B336" s="5">
        <v>46170</v>
      </c>
      <c r="C336" s="4">
        <v>1</v>
      </c>
      <c r="D336" s="4" t="s">
        <v>13</v>
      </c>
      <c r="E336" s="4">
        <v>1</v>
      </c>
      <c r="F336" s="4" t="s">
        <v>14</v>
      </c>
      <c r="G336" s="6">
        <v>4.0000000000000001E-3</v>
      </c>
      <c r="H336" s="6">
        <v>2.5999999999999999E-2</v>
      </c>
      <c r="I336" s="6">
        <v>0</v>
      </c>
      <c r="J336" s="4" t="s">
        <v>15</v>
      </c>
      <c r="K336" s="10" t="s">
        <v>70</v>
      </c>
      <c r="L336" s="4" t="s">
        <v>71</v>
      </c>
    </row>
    <row r="337" spans="1:12" x14ac:dyDescent="0.2">
      <c r="A337" s="4" t="s">
        <v>238</v>
      </c>
      <c r="B337" s="5">
        <v>46170</v>
      </c>
      <c r="C337" s="4">
        <v>1000</v>
      </c>
      <c r="D337" s="4" t="s">
        <v>13</v>
      </c>
      <c r="E337" s="4">
        <v>1</v>
      </c>
      <c r="F337" s="4" t="s">
        <v>72</v>
      </c>
      <c r="G337" s="6">
        <v>1E-3</v>
      </c>
      <c r="H337" s="6">
        <v>2E-3</v>
      </c>
      <c r="I337" s="6">
        <v>0</v>
      </c>
      <c r="J337" s="4" t="s">
        <v>15</v>
      </c>
      <c r="K337" s="10" t="s">
        <v>73</v>
      </c>
      <c r="L337" s="4" t="s">
        <v>74</v>
      </c>
    </row>
    <row r="338" spans="1:12" x14ac:dyDescent="0.2">
      <c r="A338" s="4" t="s">
        <v>238</v>
      </c>
      <c r="B338" s="5">
        <v>46170</v>
      </c>
      <c r="C338" s="4">
        <v>1000</v>
      </c>
      <c r="D338" s="4" t="s">
        <v>13</v>
      </c>
      <c r="E338" s="4">
        <v>1</v>
      </c>
      <c r="F338" s="4" t="s">
        <v>72</v>
      </c>
      <c r="G338" s="6">
        <v>1E-3</v>
      </c>
      <c r="H338" s="6">
        <v>7.0000000000000001E-3</v>
      </c>
      <c r="I338" s="6">
        <v>0</v>
      </c>
      <c r="J338" s="4" t="s">
        <v>15</v>
      </c>
      <c r="K338" s="10" t="s">
        <v>75</v>
      </c>
      <c r="L338" s="4" t="s">
        <v>76</v>
      </c>
    </row>
    <row r="339" spans="1:12" x14ac:dyDescent="0.2">
      <c r="A339" s="4" t="s">
        <v>238</v>
      </c>
      <c r="B339" s="5">
        <v>46170</v>
      </c>
      <c r="C339" s="4">
        <v>11</v>
      </c>
      <c r="D339" s="4" t="s">
        <v>13</v>
      </c>
      <c r="E339" s="4">
        <v>11</v>
      </c>
      <c r="F339" s="4" t="s">
        <v>14</v>
      </c>
      <c r="G339" s="6">
        <v>2E-3</v>
      </c>
      <c r="H339" s="6">
        <v>2.8000000000000001E-2</v>
      </c>
      <c r="I339" s="6">
        <v>0</v>
      </c>
      <c r="J339" s="4" t="s">
        <v>15</v>
      </c>
      <c r="K339" s="10" t="s">
        <v>77</v>
      </c>
      <c r="L339" s="4" t="s">
        <v>78</v>
      </c>
    </row>
    <row r="340" spans="1:12" x14ac:dyDescent="0.2">
      <c r="A340" s="4" t="s">
        <v>238</v>
      </c>
      <c r="B340" s="5">
        <v>46170</v>
      </c>
      <c r="C340" s="4">
        <v>13500</v>
      </c>
      <c r="D340" s="4" t="s">
        <v>13</v>
      </c>
      <c r="E340" s="4">
        <v>135</v>
      </c>
      <c r="F340" s="4" t="s">
        <v>17</v>
      </c>
      <c r="G340" s="6">
        <v>0.10299999999999999</v>
      </c>
      <c r="H340" s="6">
        <v>0.311</v>
      </c>
      <c r="I340" s="6">
        <v>348</v>
      </c>
      <c r="J340" s="4" t="s">
        <v>15</v>
      </c>
      <c r="K340" s="10" t="s">
        <v>390</v>
      </c>
      <c r="L340" s="4" t="s">
        <v>79</v>
      </c>
    </row>
    <row r="341" spans="1:12" x14ac:dyDescent="0.2">
      <c r="A341" s="4" t="s">
        <v>238</v>
      </c>
      <c r="B341" s="5">
        <v>46170</v>
      </c>
      <c r="C341" s="4">
        <v>14</v>
      </c>
      <c r="D341" s="4" t="s">
        <v>13</v>
      </c>
      <c r="E341" s="4">
        <v>14</v>
      </c>
      <c r="F341" s="4" t="s">
        <v>17</v>
      </c>
      <c r="G341" s="6">
        <v>3.5000000000000003E-2</v>
      </c>
      <c r="H341" s="6">
        <v>3.5000000000000003E-2</v>
      </c>
      <c r="I341" s="6">
        <v>0</v>
      </c>
      <c r="J341" s="4" t="s">
        <v>15</v>
      </c>
      <c r="K341" s="10" t="s">
        <v>20</v>
      </c>
      <c r="L341" s="4" t="s">
        <v>80</v>
      </c>
    </row>
    <row r="342" spans="1:12" x14ac:dyDescent="0.2">
      <c r="A342" s="4" t="s">
        <v>238</v>
      </c>
      <c r="B342" s="5">
        <v>46170</v>
      </c>
      <c r="C342" s="4">
        <v>14</v>
      </c>
      <c r="D342" s="4" t="s">
        <v>13</v>
      </c>
      <c r="E342" s="4">
        <v>14</v>
      </c>
      <c r="F342" s="4" t="s">
        <v>17</v>
      </c>
      <c r="G342" s="6">
        <v>2E-3</v>
      </c>
      <c r="H342" s="6">
        <v>5.0000000000000001E-3</v>
      </c>
      <c r="I342" s="6">
        <v>0</v>
      </c>
      <c r="J342" s="4" t="s">
        <v>15</v>
      </c>
      <c r="K342" s="10" t="s">
        <v>81</v>
      </c>
      <c r="L342" s="4" t="s">
        <v>82</v>
      </c>
    </row>
    <row r="343" spans="1:12" x14ac:dyDescent="0.2">
      <c r="A343" s="4" t="s">
        <v>238</v>
      </c>
      <c r="B343" s="5">
        <v>46170</v>
      </c>
      <c r="C343" s="4">
        <v>14</v>
      </c>
      <c r="D343" s="4" t="s">
        <v>13</v>
      </c>
      <c r="E343" s="4">
        <v>14</v>
      </c>
      <c r="F343" s="4" t="s">
        <v>14</v>
      </c>
      <c r="G343" s="6">
        <v>3.5000000000000003E-2</v>
      </c>
      <c r="H343" s="6">
        <v>3.5000000000000003E-2</v>
      </c>
      <c r="I343" s="6">
        <v>0</v>
      </c>
      <c r="J343" s="4" t="s">
        <v>15</v>
      </c>
      <c r="K343" s="10" t="s">
        <v>20</v>
      </c>
      <c r="L343" s="4" t="s">
        <v>83</v>
      </c>
    </row>
    <row r="344" spans="1:12" x14ac:dyDescent="0.2">
      <c r="A344" s="4" t="s">
        <v>238</v>
      </c>
      <c r="B344" s="5">
        <v>46170</v>
      </c>
      <c r="C344" s="4">
        <v>1</v>
      </c>
      <c r="D344" s="4" t="s">
        <v>13</v>
      </c>
      <c r="E344" s="4">
        <v>1</v>
      </c>
      <c r="F344" s="4" t="s">
        <v>14</v>
      </c>
      <c r="G344" s="6">
        <v>1.4999999999999999E-2</v>
      </c>
      <c r="H344" s="6">
        <v>2E-3</v>
      </c>
      <c r="I344" s="6">
        <v>0</v>
      </c>
      <c r="J344" s="4" t="s">
        <v>15</v>
      </c>
      <c r="K344" s="10" t="s">
        <v>20</v>
      </c>
      <c r="L344" s="4" t="s">
        <v>84</v>
      </c>
    </row>
    <row r="345" spans="1:12" x14ac:dyDescent="0.2">
      <c r="A345" s="4" t="s">
        <v>238</v>
      </c>
      <c r="B345" s="5">
        <v>46170</v>
      </c>
      <c r="C345" s="4">
        <v>244</v>
      </c>
      <c r="D345" s="4" t="s">
        <v>13</v>
      </c>
      <c r="E345" s="4">
        <v>244</v>
      </c>
      <c r="F345" s="4" t="s">
        <v>14</v>
      </c>
      <c r="G345" s="6">
        <v>1E-3</v>
      </c>
      <c r="H345" s="6">
        <v>4.0000000000000001E-3</v>
      </c>
      <c r="I345" s="6">
        <v>0</v>
      </c>
      <c r="J345" s="4" t="s">
        <v>15</v>
      </c>
      <c r="K345" s="10" t="s">
        <v>85</v>
      </c>
      <c r="L345" s="4" t="s">
        <v>86</v>
      </c>
    </row>
    <row r="346" spans="1:12" x14ac:dyDescent="0.2">
      <c r="A346" s="4" t="s">
        <v>238</v>
      </c>
      <c r="B346" s="5">
        <v>46170</v>
      </c>
      <c r="C346" s="4">
        <v>1</v>
      </c>
      <c r="D346" s="4" t="s">
        <v>13</v>
      </c>
      <c r="E346" s="4">
        <v>1</v>
      </c>
      <c r="F346" s="4" t="s">
        <v>14</v>
      </c>
      <c r="G346" s="6">
        <v>1E-3</v>
      </c>
      <c r="H346" s="6">
        <v>5.0000000000000001E-3</v>
      </c>
      <c r="I346" s="6">
        <v>0</v>
      </c>
      <c r="J346" s="4" t="s">
        <v>15</v>
      </c>
      <c r="K346" s="10" t="s">
        <v>87</v>
      </c>
      <c r="L346" s="4" t="s">
        <v>88</v>
      </c>
    </row>
    <row r="347" spans="1:12" x14ac:dyDescent="0.2">
      <c r="A347" s="4" t="s">
        <v>238</v>
      </c>
      <c r="B347" s="5">
        <v>46170</v>
      </c>
      <c r="C347" s="4">
        <v>1</v>
      </c>
      <c r="D347" s="4" t="s">
        <v>13</v>
      </c>
      <c r="E347" s="4">
        <v>1</v>
      </c>
      <c r="F347" s="4" t="s">
        <v>14</v>
      </c>
      <c r="G347" s="6">
        <v>0</v>
      </c>
      <c r="H347" s="6">
        <v>1E-3</v>
      </c>
      <c r="I347" s="6">
        <v>0</v>
      </c>
      <c r="J347" s="4" t="s">
        <v>15</v>
      </c>
      <c r="K347" s="10" t="s">
        <v>89</v>
      </c>
      <c r="L347" s="4" t="s">
        <v>90</v>
      </c>
    </row>
    <row r="348" spans="1:12" x14ac:dyDescent="0.2">
      <c r="A348" s="4" t="s">
        <v>238</v>
      </c>
      <c r="B348" s="5">
        <v>46170</v>
      </c>
      <c r="C348" s="4">
        <v>1</v>
      </c>
      <c r="D348" s="4" t="s">
        <v>13</v>
      </c>
      <c r="E348" s="4">
        <v>1</v>
      </c>
      <c r="F348" s="4" t="s">
        <v>14</v>
      </c>
      <c r="G348" s="6">
        <v>0</v>
      </c>
      <c r="H348" s="6">
        <v>1E-3</v>
      </c>
      <c r="I348" s="6">
        <v>0</v>
      </c>
      <c r="J348" s="4" t="s">
        <v>15</v>
      </c>
      <c r="K348" s="10" t="s">
        <v>91</v>
      </c>
      <c r="L348" s="4" t="s">
        <v>92</v>
      </c>
    </row>
    <row r="349" spans="1:12" x14ac:dyDescent="0.2">
      <c r="A349" s="4" t="s">
        <v>238</v>
      </c>
      <c r="B349" s="5">
        <v>46170</v>
      </c>
      <c r="C349" s="4">
        <v>290</v>
      </c>
      <c r="D349" s="4" t="s">
        <v>13</v>
      </c>
      <c r="E349" s="4">
        <v>290</v>
      </c>
      <c r="F349" s="4" t="s">
        <v>17</v>
      </c>
      <c r="G349" s="6">
        <v>0.115</v>
      </c>
      <c r="H349" s="6">
        <v>0.10100000000000001</v>
      </c>
      <c r="I349" s="6">
        <v>0</v>
      </c>
      <c r="J349" s="4" t="s">
        <v>15</v>
      </c>
      <c r="K349" s="10" t="s">
        <v>93</v>
      </c>
      <c r="L349" s="4" t="s">
        <v>94</v>
      </c>
    </row>
    <row r="350" spans="1:12" x14ac:dyDescent="0.2">
      <c r="A350" s="4" t="s">
        <v>238</v>
      </c>
      <c r="B350" s="5">
        <v>46170</v>
      </c>
      <c r="C350" s="4">
        <v>800</v>
      </c>
      <c r="D350" s="4" t="s">
        <v>13</v>
      </c>
      <c r="E350" s="4">
        <v>800</v>
      </c>
      <c r="F350" s="4" t="s">
        <v>14</v>
      </c>
      <c r="G350" s="6">
        <v>1.7999999999999999E-2</v>
      </c>
      <c r="H350" s="6">
        <v>3.0000000000000001E-3</v>
      </c>
      <c r="I350" s="6">
        <v>0</v>
      </c>
      <c r="J350" s="4" t="s">
        <v>15</v>
      </c>
      <c r="K350" s="10" t="s">
        <v>20</v>
      </c>
      <c r="L350" s="4" t="s">
        <v>95</v>
      </c>
    </row>
    <row r="351" spans="1:12" x14ac:dyDescent="0.2">
      <c r="A351" s="4" t="s">
        <v>238</v>
      </c>
      <c r="B351" s="5">
        <v>46170</v>
      </c>
      <c r="C351" s="4">
        <v>1</v>
      </c>
      <c r="D351" s="4" t="s">
        <v>13</v>
      </c>
      <c r="E351" s="4">
        <v>1</v>
      </c>
      <c r="F351" s="4" t="s">
        <v>14</v>
      </c>
      <c r="G351" s="6">
        <v>4.4999999999999998E-2</v>
      </c>
      <c r="H351" s="6">
        <v>5.0000000000000001E-3</v>
      </c>
      <c r="I351" s="6">
        <v>0</v>
      </c>
      <c r="J351" s="4" t="s">
        <v>15</v>
      </c>
      <c r="K351" s="10" t="s">
        <v>20</v>
      </c>
      <c r="L351" s="4" t="s">
        <v>96</v>
      </c>
    </row>
    <row r="352" spans="1:12" x14ac:dyDescent="0.2">
      <c r="A352" s="4" t="s">
        <v>238</v>
      </c>
      <c r="B352" s="5">
        <v>46170</v>
      </c>
      <c r="C352" s="4">
        <v>60600</v>
      </c>
      <c r="D352" s="4" t="s">
        <v>13</v>
      </c>
      <c r="E352" s="4">
        <v>50</v>
      </c>
      <c r="F352" s="4" t="s">
        <v>17</v>
      </c>
      <c r="G352" s="6">
        <v>0.63100000000000001</v>
      </c>
      <c r="H352" s="6">
        <v>4.5940000000000003</v>
      </c>
      <c r="I352" s="6">
        <v>2697</v>
      </c>
      <c r="J352" s="4" t="s">
        <v>15</v>
      </c>
      <c r="K352" s="10" t="s">
        <v>391</v>
      </c>
      <c r="L352" s="4" t="s">
        <v>97</v>
      </c>
    </row>
    <row r="353" spans="1:12" x14ac:dyDescent="0.2">
      <c r="A353" s="4" t="s">
        <v>238</v>
      </c>
      <c r="B353" s="5">
        <v>46170</v>
      </c>
      <c r="C353" s="4">
        <v>519</v>
      </c>
      <c r="D353" s="4" t="s">
        <v>13</v>
      </c>
      <c r="E353" s="4">
        <v>20</v>
      </c>
      <c r="F353" s="4" t="s">
        <v>17</v>
      </c>
      <c r="G353" s="6">
        <v>0.16800000000000001</v>
      </c>
      <c r="H353" s="6">
        <v>0.40899999999999997</v>
      </c>
      <c r="I353" s="6">
        <v>285</v>
      </c>
      <c r="J353" s="4" t="s">
        <v>15</v>
      </c>
      <c r="K353" s="10" t="s">
        <v>392</v>
      </c>
      <c r="L353" s="4" t="s">
        <v>60</v>
      </c>
    </row>
    <row r="354" spans="1:12" x14ac:dyDescent="0.2">
      <c r="A354" s="4" t="s">
        <v>238</v>
      </c>
      <c r="B354" s="5">
        <v>46170</v>
      </c>
      <c r="C354" s="4">
        <v>14480</v>
      </c>
      <c r="D354" s="4" t="s">
        <v>13</v>
      </c>
      <c r="E354" s="4">
        <v>144</v>
      </c>
      <c r="F354" s="4" t="s">
        <v>17</v>
      </c>
      <c r="G354" s="6">
        <v>0.111</v>
      </c>
      <c r="H354" s="6">
        <v>1.0549999999999999</v>
      </c>
      <c r="I354" s="6">
        <v>1332</v>
      </c>
      <c r="J354" s="4" t="s">
        <v>15</v>
      </c>
      <c r="K354" s="10" t="s">
        <v>393</v>
      </c>
      <c r="L354" s="4" t="s">
        <v>79</v>
      </c>
    </row>
    <row r="355" spans="1:12" x14ac:dyDescent="0.2">
      <c r="A355" s="4" t="s">
        <v>238</v>
      </c>
      <c r="B355" s="5">
        <v>46170</v>
      </c>
      <c r="C355" s="4">
        <v>20</v>
      </c>
      <c r="D355" s="4" t="s">
        <v>13</v>
      </c>
      <c r="E355" s="4">
        <v>1</v>
      </c>
      <c r="F355" s="4" t="s">
        <v>98</v>
      </c>
      <c r="G355" s="6">
        <v>0</v>
      </c>
      <c r="H355" s="6">
        <v>4.0000000000000001E-3</v>
      </c>
      <c r="I355" s="6">
        <v>32</v>
      </c>
      <c r="J355" s="4" t="s">
        <v>15</v>
      </c>
      <c r="K355" s="10" t="s">
        <v>394</v>
      </c>
      <c r="L355" s="4" t="s">
        <v>99</v>
      </c>
    </row>
    <row r="356" spans="1:12" x14ac:dyDescent="0.2">
      <c r="A356" s="4" t="s">
        <v>238</v>
      </c>
      <c r="B356" s="5">
        <v>46170</v>
      </c>
      <c r="C356" s="4">
        <v>50100</v>
      </c>
      <c r="D356" s="4" t="s">
        <v>13</v>
      </c>
      <c r="E356" s="4">
        <v>1670</v>
      </c>
      <c r="F356" s="4" t="s">
        <v>17</v>
      </c>
      <c r="G356" s="6">
        <v>0.13600000000000001</v>
      </c>
      <c r="H356" s="6">
        <v>0.96499999999999997</v>
      </c>
      <c r="I356" s="6">
        <v>5261</v>
      </c>
      <c r="J356" s="4" t="s">
        <v>15</v>
      </c>
      <c r="K356" s="10" t="s">
        <v>395</v>
      </c>
      <c r="L356" s="4" t="s">
        <v>100</v>
      </c>
    </row>
    <row r="357" spans="1:12" x14ac:dyDescent="0.2">
      <c r="A357" s="4" t="s">
        <v>238</v>
      </c>
      <c r="B357" s="5">
        <v>46170</v>
      </c>
      <c r="C357" s="4">
        <v>118800</v>
      </c>
      <c r="D357" s="4" t="s">
        <v>13</v>
      </c>
      <c r="E357" s="4">
        <v>3960</v>
      </c>
      <c r="F357" s="4" t="s">
        <v>72</v>
      </c>
      <c r="G357" s="6">
        <v>0.32100000000000001</v>
      </c>
      <c r="H357" s="6">
        <v>2.2890000000000001</v>
      </c>
      <c r="I357" s="6">
        <v>12474</v>
      </c>
      <c r="J357" s="4" t="s">
        <v>15</v>
      </c>
      <c r="K357" s="10" t="s">
        <v>395</v>
      </c>
      <c r="L357" s="4" t="s">
        <v>100</v>
      </c>
    </row>
    <row r="358" spans="1:12" x14ac:dyDescent="0.2">
      <c r="A358" s="4" t="s">
        <v>238</v>
      </c>
      <c r="B358" s="5">
        <v>46170</v>
      </c>
      <c r="C358" s="4">
        <v>80</v>
      </c>
      <c r="D358" s="4" t="s">
        <v>13</v>
      </c>
      <c r="E358" s="4">
        <v>4</v>
      </c>
      <c r="F358" s="4" t="s">
        <v>98</v>
      </c>
      <c r="G358" s="6">
        <v>1E-3</v>
      </c>
      <c r="H358" s="6">
        <v>1.6E-2</v>
      </c>
      <c r="I358" s="6">
        <v>128</v>
      </c>
      <c r="J358" s="4" t="s">
        <v>15</v>
      </c>
      <c r="K358" s="10" t="s">
        <v>394</v>
      </c>
      <c r="L358" s="4" t="s">
        <v>99</v>
      </c>
    </row>
    <row r="359" spans="1:12" x14ac:dyDescent="0.2">
      <c r="A359" s="4" t="s">
        <v>238</v>
      </c>
      <c r="B359" s="5">
        <v>46170</v>
      </c>
      <c r="C359" s="4">
        <v>607800</v>
      </c>
      <c r="D359" s="4" t="s">
        <v>13</v>
      </c>
      <c r="E359" s="4">
        <v>10130</v>
      </c>
      <c r="F359" s="4" t="s">
        <v>17</v>
      </c>
      <c r="G359" s="6">
        <v>0.81</v>
      </c>
      <c r="H359" s="6">
        <v>3.0390000000000001</v>
      </c>
      <c r="I359" s="6">
        <v>51663</v>
      </c>
      <c r="J359" s="4" t="s">
        <v>15</v>
      </c>
      <c r="K359" s="10" t="s">
        <v>396</v>
      </c>
      <c r="L359" s="4" t="s">
        <v>101</v>
      </c>
    </row>
    <row r="360" spans="1:12" x14ac:dyDescent="0.2">
      <c r="A360" s="4" t="s">
        <v>238</v>
      </c>
      <c r="B360" s="5">
        <v>46170</v>
      </c>
      <c r="C360" s="4">
        <v>315300</v>
      </c>
      <c r="D360" s="4" t="s">
        <v>13</v>
      </c>
      <c r="E360" s="4">
        <v>5255</v>
      </c>
      <c r="F360" s="4" t="s">
        <v>17</v>
      </c>
      <c r="G360" s="6">
        <v>0.42</v>
      </c>
      <c r="H360" s="6">
        <v>1.577</v>
      </c>
      <c r="I360" s="6">
        <v>26801</v>
      </c>
      <c r="J360" s="4" t="s">
        <v>15</v>
      </c>
      <c r="K360" s="10" t="s">
        <v>396</v>
      </c>
      <c r="L360" s="4" t="s">
        <v>101</v>
      </c>
    </row>
    <row r="361" spans="1:12" x14ac:dyDescent="0.2">
      <c r="A361" s="4" t="s">
        <v>238</v>
      </c>
      <c r="B361" s="5">
        <v>46170</v>
      </c>
      <c r="C361" s="4">
        <v>14760</v>
      </c>
      <c r="D361" s="4" t="s">
        <v>13</v>
      </c>
      <c r="E361" s="4">
        <v>492</v>
      </c>
      <c r="F361" s="4" t="s">
        <v>17</v>
      </c>
      <c r="G361" s="6">
        <v>6.0999999999999999E-2</v>
      </c>
      <c r="H361" s="6">
        <v>0.24199999999999999</v>
      </c>
      <c r="I361" s="6">
        <v>7375</v>
      </c>
      <c r="J361" s="4" t="s">
        <v>15</v>
      </c>
      <c r="K361" s="10" t="s">
        <v>397</v>
      </c>
      <c r="L361" s="4" t="s">
        <v>102</v>
      </c>
    </row>
    <row r="362" spans="1:12" x14ac:dyDescent="0.2">
      <c r="A362" s="4" t="s">
        <v>238</v>
      </c>
      <c r="B362" s="5">
        <v>46170</v>
      </c>
      <c r="C362" s="4">
        <v>63360</v>
      </c>
      <c r="D362" s="4" t="s">
        <v>13</v>
      </c>
      <c r="E362" s="4">
        <v>1056</v>
      </c>
      <c r="F362" s="4" t="s">
        <v>72</v>
      </c>
      <c r="G362" s="6">
        <v>3.7999999999999999E-2</v>
      </c>
      <c r="H362" s="6">
        <v>0.19</v>
      </c>
      <c r="I362" s="6">
        <v>2112</v>
      </c>
      <c r="J362" s="4" t="s">
        <v>15</v>
      </c>
      <c r="K362" s="10" t="s">
        <v>398</v>
      </c>
      <c r="L362" s="4" t="s">
        <v>22</v>
      </c>
    </row>
    <row r="363" spans="1:12" x14ac:dyDescent="0.2">
      <c r="A363" s="4" t="s">
        <v>238</v>
      </c>
      <c r="B363" s="5">
        <v>46170</v>
      </c>
      <c r="C363" s="4">
        <v>1080</v>
      </c>
      <c r="D363" s="4" t="s">
        <v>13</v>
      </c>
      <c r="E363" s="4">
        <v>18</v>
      </c>
      <c r="F363" s="4" t="s">
        <v>17</v>
      </c>
      <c r="G363" s="6">
        <v>2E-3</v>
      </c>
      <c r="H363" s="6">
        <v>5.0000000000000001E-3</v>
      </c>
      <c r="I363" s="6">
        <v>109</v>
      </c>
      <c r="J363" s="4" t="s">
        <v>15</v>
      </c>
      <c r="K363" s="10" t="s">
        <v>399</v>
      </c>
      <c r="L363" s="4" t="s">
        <v>38</v>
      </c>
    </row>
    <row r="364" spans="1:12" x14ac:dyDescent="0.2">
      <c r="A364" s="4" t="s">
        <v>238</v>
      </c>
      <c r="B364" s="5">
        <v>46170</v>
      </c>
      <c r="C364" s="4">
        <v>82560</v>
      </c>
      <c r="D364" s="4" t="s">
        <v>13</v>
      </c>
      <c r="E364" s="4">
        <v>1376</v>
      </c>
      <c r="F364" s="4" t="s">
        <v>17</v>
      </c>
      <c r="G364" s="6">
        <v>0.127</v>
      </c>
      <c r="H364" s="6">
        <v>0.432</v>
      </c>
      <c r="I364" s="6">
        <v>9426</v>
      </c>
      <c r="J364" s="4" t="s">
        <v>15</v>
      </c>
      <c r="K364" s="10" t="s">
        <v>400</v>
      </c>
      <c r="L364" s="4" t="s">
        <v>103</v>
      </c>
    </row>
    <row r="365" spans="1:12" x14ac:dyDescent="0.2">
      <c r="A365" s="4" t="s">
        <v>238</v>
      </c>
      <c r="B365" s="5">
        <v>46170</v>
      </c>
      <c r="C365" s="4">
        <v>301224</v>
      </c>
      <c r="D365" s="4" t="s">
        <v>13</v>
      </c>
      <c r="E365" s="4">
        <v>3586</v>
      </c>
      <c r="F365" s="4" t="s">
        <v>17</v>
      </c>
      <c r="G365" s="6">
        <v>0.26100000000000001</v>
      </c>
      <c r="H365" s="6">
        <v>1.359</v>
      </c>
      <c r="I365" s="6">
        <v>10041</v>
      </c>
      <c r="J365" s="4" t="s">
        <v>15</v>
      </c>
      <c r="K365" s="10" t="s">
        <v>401</v>
      </c>
      <c r="L365" s="4" t="s">
        <v>104</v>
      </c>
    </row>
    <row r="366" spans="1:12" x14ac:dyDescent="0.2">
      <c r="A366" s="4" t="s">
        <v>238</v>
      </c>
      <c r="B366" s="5">
        <v>46170</v>
      </c>
      <c r="C366" s="4">
        <v>263256</v>
      </c>
      <c r="D366" s="4" t="s">
        <v>13</v>
      </c>
      <c r="E366" s="4">
        <v>3134</v>
      </c>
      <c r="F366" s="4" t="s">
        <v>17</v>
      </c>
      <c r="G366" s="6">
        <v>0.23699999999999999</v>
      </c>
      <c r="H366" s="6">
        <v>1.1579999999999999</v>
      </c>
      <c r="I366" s="6">
        <v>10656</v>
      </c>
      <c r="J366" s="4" t="s">
        <v>15</v>
      </c>
      <c r="K366" s="10" t="s">
        <v>402</v>
      </c>
      <c r="L366" s="4" t="s">
        <v>105</v>
      </c>
    </row>
    <row r="367" spans="1:12" x14ac:dyDescent="0.2">
      <c r="A367" s="4" t="s">
        <v>238</v>
      </c>
      <c r="B367" s="5">
        <v>46170</v>
      </c>
      <c r="C367" s="4">
        <v>46560</v>
      </c>
      <c r="D367" s="4" t="s">
        <v>13</v>
      </c>
      <c r="E367" s="4">
        <v>776</v>
      </c>
      <c r="F367" s="4" t="s">
        <v>17</v>
      </c>
      <c r="G367" s="6">
        <v>0.13700000000000001</v>
      </c>
      <c r="H367" s="6">
        <v>0.81899999999999995</v>
      </c>
      <c r="I367" s="6">
        <v>5316</v>
      </c>
      <c r="J367" s="4" t="s">
        <v>15</v>
      </c>
      <c r="K367" s="10" t="s">
        <v>400</v>
      </c>
      <c r="L367" s="4" t="s">
        <v>103</v>
      </c>
    </row>
    <row r="368" spans="1:12" x14ac:dyDescent="0.2">
      <c r="A368" s="4" t="s">
        <v>238</v>
      </c>
      <c r="B368" s="5">
        <v>46170</v>
      </c>
      <c r="C368" s="4">
        <v>964620</v>
      </c>
      <c r="D368" s="4" t="s">
        <v>13</v>
      </c>
      <c r="E368" s="4">
        <v>32154</v>
      </c>
      <c r="F368" s="4" t="s">
        <v>17</v>
      </c>
      <c r="G368" s="6">
        <v>2.827</v>
      </c>
      <c r="H368" s="6">
        <v>6.2380000000000004</v>
      </c>
      <c r="I368" s="6">
        <v>81993</v>
      </c>
      <c r="J368" s="4" t="s">
        <v>15</v>
      </c>
      <c r="K368" s="10" t="s">
        <v>403</v>
      </c>
      <c r="L368" s="4" t="s">
        <v>106</v>
      </c>
    </row>
    <row r="369" spans="1:12" x14ac:dyDescent="0.2">
      <c r="A369" s="4" t="s">
        <v>238</v>
      </c>
      <c r="B369" s="5">
        <v>46170</v>
      </c>
      <c r="C369" s="4">
        <v>6700</v>
      </c>
      <c r="D369" s="4" t="s">
        <v>13</v>
      </c>
      <c r="E369" s="4">
        <v>134</v>
      </c>
      <c r="F369" s="4" t="s">
        <v>17</v>
      </c>
      <c r="G369" s="6">
        <v>0.10299999999999999</v>
      </c>
      <c r="H369" s="6">
        <v>0.308</v>
      </c>
      <c r="I369" s="6">
        <v>192</v>
      </c>
      <c r="J369" s="4" t="s">
        <v>15</v>
      </c>
      <c r="K369" s="10" t="s">
        <v>404</v>
      </c>
      <c r="L369" s="4" t="s">
        <v>107</v>
      </c>
    </row>
    <row r="370" spans="1:12" x14ac:dyDescent="0.2">
      <c r="A370" s="4" t="s">
        <v>238</v>
      </c>
      <c r="B370" s="5">
        <v>46170</v>
      </c>
      <c r="C370" s="4">
        <v>964800</v>
      </c>
      <c r="D370" s="4" t="s">
        <v>13</v>
      </c>
      <c r="E370" s="4">
        <v>32160</v>
      </c>
      <c r="F370" s="4" t="s">
        <v>17</v>
      </c>
      <c r="G370" s="6">
        <v>2.3159999999999998</v>
      </c>
      <c r="H370" s="6">
        <v>6.2389999999999999</v>
      </c>
      <c r="I370" s="6">
        <v>82008</v>
      </c>
      <c r="J370" s="4" t="s">
        <v>15</v>
      </c>
      <c r="K370" s="10" t="s">
        <v>403</v>
      </c>
      <c r="L370" s="4" t="s">
        <v>106</v>
      </c>
    </row>
    <row r="371" spans="1:12" x14ac:dyDescent="0.2">
      <c r="A371" s="4" t="s">
        <v>238</v>
      </c>
      <c r="B371" s="5">
        <v>46170</v>
      </c>
      <c r="C371" s="4">
        <v>630840</v>
      </c>
      <c r="D371" s="4" t="s">
        <v>13</v>
      </c>
      <c r="E371" s="4">
        <v>21028</v>
      </c>
      <c r="F371" s="4" t="s">
        <v>17</v>
      </c>
      <c r="G371" s="6">
        <v>1.514</v>
      </c>
      <c r="H371" s="6">
        <v>4.0789999999999997</v>
      </c>
      <c r="I371" s="6">
        <v>53621</v>
      </c>
      <c r="J371" s="4" t="s">
        <v>15</v>
      </c>
      <c r="K371" s="10" t="s">
        <v>403</v>
      </c>
      <c r="L371" s="4" t="s">
        <v>106</v>
      </c>
    </row>
    <row r="372" spans="1:12" x14ac:dyDescent="0.2">
      <c r="A372" s="4" t="s">
        <v>238</v>
      </c>
      <c r="B372" s="5">
        <v>46170</v>
      </c>
      <c r="C372" s="4">
        <v>218010</v>
      </c>
      <c r="D372" s="4" t="s">
        <v>13</v>
      </c>
      <c r="E372" s="4">
        <v>7267</v>
      </c>
      <c r="F372" s="4" t="s">
        <v>17</v>
      </c>
      <c r="G372" s="6">
        <v>0.52300000000000002</v>
      </c>
      <c r="H372" s="6">
        <v>1.41</v>
      </c>
      <c r="I372" s="6">
        <v>18531</v>
      </c>
      <c r="J372" s="4" t="s">
        <v>15</v>
      </c>
      <c r="K372" s="10" t="s">
        <v>405</v>
      </c>
      <c r="L372" s="4" t="s">
        <v>106</v>
      </c>
    </row>
    <row r="373" spans="1:12" x14ac:dyDescent="0.2">
      <c r="A373" s="4" t="s">
        <v>238</v>
      </c>
      <c r="B373" s="5">
        <v>46170</v>
      </c>
      <c r="C373" s="4">
        <v>252000</v>
      </c>
      <c r="D373" s="4" t="s">
        <v>13</v>
      </c>
      <c r="E373" s="4">
        <v>8400</v>
      </c>
      <c r="F373" s="4" t="s">
        <v>17</v>
      </c>
      <c r="G373" s="6">
        <v>0.60499999999999998</v>
      </c>
      <c r="H373" s="6">
        <v>1.63</v>
      </c>
      <c r="I373" s="6">
        <v>21420</v>
      </c>
      <c r="J373" s="4" t="s">
        <v>15</v>
      </c>
      <c r="K373" s="10" t="s">
        <v>405</v>
      </c>
      <c r="L373" s="4" t="s">
        <v>106</v>
      </c>
    </row>
    <row r="374" spans="1:12" x14ac:dyDescent="0.2">
      <c r="A374" s="4" t="s">
        <v>238</v>
      </c>
      <c r="B374" s="5">
        <v>46170</v>
      </c>
      <c r="C374" s="4">
        <v>968400</v>
      </c>
      <c r="D374" s="4" t="s">
        <v>13</v>
      </c>
      <c r="E374" s="4">
        <v>32280</v>
      </c>
      <c r="F374" s="4" t="s">
        <v>17</v>
      </c>
      <c r="G374" s="6">
        <v>2.3239999999999998</v>
      </c>
      <c r="H374" s="6">
        <v>6.2619999999999996</v>
      </c>
      <c r="I374" s="6">
        <v>82314</v>
      </c>
      <c r="J374" s="4" t="s">
        <v>15</v>
      </c>
      <c r="K374" s="10" t="s">
        <v>403</v>
      </c>
      <c r="L374" s="4" t="s">
        <v>106</v>
      </c>
    </row>
    <row r="375" spans="1:12" x14ac:dyDescent="0.2">
      <c r="A375" s="4" t="s">
        <v>238</v>
      </c>
      <c r="B375" s="5">
        <v>46170</v>
      </c>
      <c r="C375" s="4">
        <v>5200</v>
      </c>
      <c r="D375" s="4" t="s">
        <v>13</v>
      </c>
      <c r="E375" s="4">
        <v>52</v>
      </c>
      <c r="F375" s="4" t="s">
        <v>17</v>
      </c>
      <c r="G375" s="6">
        <v>9.4E-2</v>
      </c>
      <c r="H375" s="6">
        <v>0.26</v>
      </c>
      <c r="I375" s="6">
        <v>3328</v>
      </c>
      <c r="J375" s="4" t="s">
        <v>15</v>
      </c>
      <c r="K375" s="10" t="s">
        <v>406</v>
      </c>
      <c r="L375" s="4" t="s">
        <v>23</v>
      </c>
    </row>
    <row r="376" spans="1:12" x14ac:dyDescent="0.2">
      <c r="A376" s="4" t="s">
        <v>238</v>
      </c>
      <c r="B376" s="5">
        <v>46170</v>
      </c>
      <c r="C376" s="4">
        <v>27800</v>
      </c>
      <c r="D376" s="4" t="s">
        <v>13</v>
      </c>
      <c r="E376" s="4">
        <v>278</v>
      </c>
      <c r="F376" s="4" t="s">
        <v>17</v>
      </c>
      <c r="G376" s="6">
        <v>0.5</v>
      </c>
      <c r="H376" s="6">
        <v>1.39</v>
      </c>
      <c r="I376" s="6">
        <v>17792</v>
      </c>
      <c r="J376" s="4" t="s">
        <v>15</v>
      </c>
      <c r="K376" s="10" t="s">
        <v>407</v>
      </c>
      <c r="L376" s="4" t="s">
        <v>23</v>
      </c>
    </row>
    <row r="377" spans="1:12" x14ac:dyDescent="0.2">
      <c r="A377" s="4" t="s">
        <v>238</v>
      </c>
      <c r="B377" s="5">
        <v>46170</v>
      </c>
      <c r="C377" s="4">
        <v>30</v>
      </c>
      <c r="D377" s="4" t="s">
        <v>13</v>
      </c>
      <c r="E377" s="4">
        <v>1</v>
      </c>
      <c r="F377" s="4" t="s">
        <v>17</v>
      </c>
      <c r="G377" s="6">
        <v>0</v>
      </c>
      <c r="H377" s="6">
        <v>0</v>
      </c>
      <c r="I377" s="6">
        <v>9</v>
      </c>
      <c r="J377" s="4" t="s">
        <v>15</v>
      </c>
      <c r="K377" s="10" t="s">
        <v>408</v>
      </c>
      <c r="L377" s="4" t="s">
        <v>108</v>
      </c>
    </row>
    <row r="378" spans="1:12" x14ac:dyDescent="0.2">
      <c r="A378" s="4" t="s">
        <v>238</v>
      </c>
      <c r="B378" s="5">
        <v>46170</v>
      </c>
      <c r="C378" s="4">
        <v>168000</v>
      </c>
      <c r="D378" s="4" t="s">
        <v>13</v>
      </c>
      <c r="E378" s="4">
        <v>2800</v>
      </c>
      <c r="F378" s="4" t="s">
        <v>17</v>
      </c>
      <c r="G378" s="6">
        <v>0.10100000000000001</v>
      </c>
      <c r="H378" s="6">
        <v>0.504</v>
      </c>
      <c r="I378" s="6">
        <v>4984</v>
      </c>
      <c r="J378" s="4" t="s">
        <v>15</v>
      </c>
      <c r="K378" s="10" t="s">
        <v>409</v>
      </c>
      <c r="L378" s="4" t="s">
        <v>109</v>
      </c>
    </row>
    <row r="379" spans="1:12" x14ac:dyDescent="0.2">
      <c r="A379" s="4" t="s">
        <v>238</v>
      </c>
      <c r="B379" s="5">
        <v>46170</v>
      </c>
      <c r="C379" s="4">
        <v>87270</v>
      </c>
      <c r="D379" s="4" t="s">
        <v>13</v>
      </c>
      <c r="E379" s="4">
        <v>2909</v>
      </c>
      <c r="F379" s="4" t="s">
        <v>17</v>
      </c>
      <c r="G379" s="6">
        <v>0.36</v>
      </c>
      <c r="H379" s="6">
        <v>1.431</v>
      </c>
      <c r="I379" s="6">
        <v>37788</v>
      </c>
      <c r="J379" s="4" t="s">
        <v>15</v>
      </c>
      <c r="K379" s="10" t="s">
        <v>410</v>
      </c>
      <c r="L379" s="4" t="s">
        <v>102</v>
      </c>
    </row>
    <row r="380" spans="1:12" x14ac:dyDescent="0.2">
      <c r="A380" s="4" t="s">
        <v>238</v>
      </c>
      <c r="B380" s="5">
        <v>46170</v>
      </c>
      <c r="C380" s="4">
        <v>318060</v>
      </c>
      <c r="D380" s="4" t="s">
        <v>13</v>
      </c>
      <c r="E380" s="4">
        <v>5301</v>
      </c>
      <c r="F380" s="4" t="s">
        <v>17</v>
      </c>
      <c r="G380" s="6">
        <v>0.26500000000000001</v>
      </c>
      <c r="H380" s="6">
        <v>1.06</v>
      </c>
      <c r="I380" s="6">
        <v>11662</v>
      </c>
      <c r="J380" s="4" t="s">
        <v>15</v>
      </c>
      <c r="K380" s="10" t="s">
        <v>411</v>
      </c>
      <c r="L380" s="4" t="s">
        <v>110</v>
      </c>
    </row>
    <row r="381" spans="1:12" x14ac:dyDescent="0.2">
      <c r="A381" s="4" t="s">
        <v>238</v>
      </c>
      <c r="B381" s="5">
        <v>46170</v>
      </c>
      <c r="C381" s="4">
        <v>53160</v>
      </c>
      <c r="D381" s="4" t="s">
        <v>13</v>
      </c>
      <c r="E381" s="4">
        <v>886</v>
      </c>
      <c r="F381" s="4" t="s">
        <v>17</v>
      </c>
      <c r="G381" s="6">
        <v>0.13600000000000001</v>
      </c>
      <c r="H381" s="6">
        <v>0.36899999999999999</v>
      </c>
      <c r="I381" s="6">
        <v>47844</v>
      </c>
      <c r="J381" s="4" t="s">
        <v>15</v>
      </c>
      <c r="K381" s="10" t="s">
        <v>412</v>
      </c>
      <c r="L381" s="4" t="s">
        <v>111</v>
      </c>
    </row>
    <row r="382" spans="1:12" x14ac:dyDescent="0.2">
      <c r="A382" s="4" t="s">
        <v>238</v>
      </c>
      <c r="B382" s="5">
        <v>46170</v>
      </c>
      <c r="C382" s="4">
        <v>114840</v>
      </c>
      <c r="D382" s="4" t="s">
        <v>13</v>
      </c>
      <c r="E382" s="4">
        <v>1914</v>
      </c>
      <c r="F382" s="4" t="s">
        <v>17</v>
      </c>
      <c r="G382" s="6">
        <v>0.29399999999999998</v>
      </c>
      <c r="H382" s="6">
        <v>0.79800000000000004</v>
      </c>
      <c r="I382" s="6">
        <v>103356</v>
      </c>
      <c r="J382" s="4" t="s">
        <v>15</v>
      </c>
      <c r="K382" s="10" t="s">
        <v>412</v>
      </c>
      <c r="L382" s="4" t="s">
        <v>111</v>
      </c>
    </row>
    <row r="383" spans="1:12" x14ac:dyDescent="0.2">
      <c r="A383" s="4" t="s">
        <v>238</v>
      </c>
      <c r="B383" s="5">
        <v>46170</v>
      </c>
      <c r="C383" s="4">
        <v>61680</v>
      </c>
      <c r="D383" s="4" t="s">
        <v>13</v>
      </c>
      <c r="E383" s="4">
        <v>1028</v>
      </c>
      <c r="F383" s="4" t="s">
        <v>17</v>
      </c>
      <c r="G383" s="6">
        <v>0.158</v>
      </c>
      <c r="H383" s="6">
        <v>0.42899999999999999</v>
      </c>
      <c r="I383" s="6">
        <v>55512</v>
      </c>
      <c r="J383" s="4" t="s">
        <v>15</v>
      </c>
      <c r="K383" s="10" t="s">
        <v>412</v>
      </c>
      <c r="L383" s="4" t="s">
        <v>111</v>
      </c>
    </row>
    <row r="384" spans="1:12" x14ac:dyDescent="0.2">
      <c r="A384" s="4" t="s">
        <v>238</v>
      </c>
      <c r="B384" s="5">
        <v>46170</v>
      </c>
      <c r="C384" s="4">
        <v>81630</v>
      </c>
      <c r="D384" s="4" t="s">
        <v>13</v>
      </c>
      <c r="E384" s="4">
        <v>2721</v>
      </c>
      <c r="F384" s="4" t="s">
        <v>17</v>
      </c>
      <c r="G384" s="6">
        <v>0.11899999999999999</v>
      </c>
      <c r="H384" s="6">
        <v>1.407</v>
      </c>
      <c r="I384" s="6">
        <v>23809</v>
      </c>
      <c r="J384" s="4" t="s">
        <v>15</v>
      </c>
      <c r="K384" s="10" t="s">
        <v>413</v>
      </c>
      <c r="L384" s="4" t="s">
        <v>112</v>
      </c>
    </row>
    <row r="385" spans="1:12" x14ac:dyDescent="0.2">
      <c r="A385" s="4" t="s">
        <v>238</v>
      </c>
      <c r="B385" s="5">
        <v>46170</v>
      </c>
      <c r="C385" s="4">
        <v>23900</v>
      </c>
      <c r="D385" s="4" t="s">
        <v>13</v>
      </c>
      <c r="E385" s="4">
        <v>239</v>
      </c>
      <c r="F385" s="4" t="s">
        <v>17</v>
      </c>
      <c r="G385" s="6">
        <v>3.7999999999999999E-2</v>
      </c>
      <c r="H385" s="6">
        <v>0.10299999999999999</v>
      </c>
      <c r="I385" s="6">
        <v>19120</v>
      </c>
      <c r="J385" s="4" t="s">
        <v>15</v>
      </c>
      <c r="K385" s="10" t="s">
        <v>414</v>
      </c>
      <c r="L385" s="4" t="s">
        <v>113</v>
      </c>
    </row>
    <row r="386" spans="1:12" x14ac:dyDescent="0.2">
      <c r="A386" s="4" t="s">
        <v>238</v>
      </c>
      <c r="B386" s="5">
        <v>46170</v>
      </c>
      <c r="C386" s="4">
        <v>717696</v>
      </c>
      <c r="D386" s="4" t="s">
        <v>13</v>
      </c>
      <c r="E386" s="4">
        <v>1068</v>
      </c>
      <c r="F386" s="4" t="s">
        <v>17</v>
      </c>
      <c r="G386" s="6">
        <v>0.61099999999999999</v>
      </c>
      <c r="H386" s="6">
        <v>2.4609999999999999</v>
      </c>
      <c r="I386" s="6">
        <v>23507</v>
      </c>
      <c r="J386" s="4" t="s">
        <v>15</v>
      </c>
      <c r="K386" s="10" t="s">
        <v>415</v>
      </c>
      <c r="L386" s="4" t="s">
        <v>27</v>
      </c>
    </row>
    <row r="387" spans="1:12" x14ac:dyDescent="0.2">
      <c r="A387" s="4" t="s">
        <v>238</v>
      </c>
      <c r="B387" s="5">
        <v>46170</v>
      </c>
      <c r="C387" s="4">
        <v>1563072</v>
      </c>
      <c r="D387" s="4" t="s">
        <v>13</v>
      </c>
      <c r="E387" s="4">
        <v>2326</v>
      </c>
      <c r="F387" s="4" t="s">
        <v>17</v>
      </c>
      <c r="G387" s="6">
        <v>1.331</v>
      </c>
      <c r="H387" s="6">
        <v>5.3319999999999999</v>
      </c>
      <c r="I387" s="6">
        <v>51195</v>
      </c>
      <c r="J387" s="4" t="s">
        <v>15</v>
      </c>
      <c r="K387" s="10" t="s">
        <v>416</v>
      </c>
      <c r="L387" s="4" t="s">
        <v>27</v>
      </c>
    </row>
    <row r="388" spans="1:12" x14ac:dyDescent="0.2">
      <c r="A388" s="4" t="s">
        <v>238</v>
      </c>
      <c r="B388" s="5">
        <v>46170</v>
      </c>
      <c r="C388" s="4">
        <v>1529472</v>
      </c>
      <c r="D388" s="4" t="s">
        <v>13</v>
      </c>
      <c r="E388" s="4">
        <v>2276</v>
      </c>
      <c r="F388" s="4" t="s">
        <v>17</v>
      </c>
      <c r="G388" s="6">
        <v>1.302</v>
      </c>
      <c r="H388" s="6">
        <v>5.2089999999999996</v>
      </c>
      <c r="I388" s="6">
        <v>50095</v>
      </c>
      <c r="J388" s="4" t="s">
        <v>15</v>
      </c>
      <c r="K388" s="10" t="s">
        <v>417</v>
      </c>
      <c r="L388" s="4" t="s">
        <v>27</v>
      </c>
    </row>
    <row r="389" spans="1:12" x14ac:dyDescent="0.2">
      <c r="A389" s="4" t="s">
        <v>238</v>
      </c>
      <c r="B389" s="5">
        <v>46170</v>
      </c>
      <c r="C389" s="4">
        <v>305760</v>
      </c>
      <c r="D389" s="4" t="s">
        <v>13</v>
      </c>
      <c r="E389" s="4">
        <v>455</v>
      </c>
      <c r="F389" s="4" t="s">
        <v>17</v>
      </c>
      <c r="G389" s="6">
        <v>0.42</v>
      </c>
      <c r="H389" s="6">
        <v>1.345</v>
      </c>
      <c r="I389" s="6">
        <v>16821</v>
      </c>
      <c r="J389" s="4" t="s">
        <v>15</v>
      </c>
      <c r="K389" s="10" t="s">
        <v>418</v>
      </c>
      <c r="L389" s="4" t="s">
        <v>114</v>
      </c>
    </row>
    <row r="390" spans="1:12" x14ac:dyDescent="0.2">
      <c r="A390" s="4" t="s">
        <v>238</v>
      </c>
      <c r="B390" s="5">
        <v>46170</v>
      </c>
      <c r="C390" s="4">
        <v>165984</v>
      </c>
      <c r="D390" s="4" t="s">
        <v>13</v>
      </c>
      <c r="E390" s="4">
        <v>247</v>
      </c>
      <c r="F390" s="4" t="s">
        <v>17</v>
      </c>
      <c r="G390" s="6">
        <v>0.32900000000000001</v>
      </c>
      <c r="H390" s="6">
        <v>1.113</v>
      </c>
      <c r="I390" s="6">
        <v>11306</v>
      </c>
      <c r="J390" s="4" t="s">
        <v>15</v>
      </c>
      <c r="K390" s="10" t="s">
        <v>419</v>
      </c>
      <c r="L390" s="4" t="s">
        <v>115</v>
      </c>
    </row>
    <row r="391" spans="1:12" x14ac:dyDescent="0.2">
      <c r="A391" s="4" t="s">
        <v>238</v>
      </c>
      <c r="B391" s="5">
        <v>46170</v>
      </c>
      <c r="C391" s="4">
        <v>731808</v>
      </c>
      <c r="D391" s="4" t="s">
        <v>13</v>
      </c>
      <c r="E391" s="4">
        <v>1089</v>
      </c>
      <c r="F391" s="4" t="s">
        <v>17</v>
      </c>
      <c r="G391" s="6">
        <v>1.4339999999999999</v>
      </c>
      <c r="H391" s="6">
        <v>4.8540000000000001</v>
      </c>
      <c r="I391" s="6">
        <v>49343</v>
      </c>
      <c r="J391" s="4" t="s">
        <v>15</v>
      </c>
      <c r="K391" s="10" t="s">
        <v>419</v>
      </c>
      <c r="L391" s="4" t="s">
        <v>115</v>
      </c>
    </row>
    <row r="392" spans="1:12" x14ac:dyDescent="0.2">
      <c r="A392" s="4" t="s">
        <v>238</v>
      </c>
      <c r="B392" s="5">
        <v>46170</v>
      </c>
      <c r="C392" s="4">
        <v>785568</v>
      </c>
      <c r="D392" s="4" t="s">
        <v>13</v>
      </c>
      <c r="E392" s="4">
        <v>1169</v>
      </c>
      <c r="F392" s="4" t="s">
        <v>17</v>
      </c>
      <c r="G392" s="6">
        <v>1.5389999999999999</v>
      </c>
      <c r="H392" s="6">
        <v>5.2149999999999999</v>
      </c>
      <c r="I392" s="6">
        <v>52967</v>
      </c>
      <c r="J392" s="4" t="s">
        <v>15</v>
      </c>
      <c r="K392" s="10" t="s">
        <v>419</v>
      </c>
      <c r="L392" s="4" t="s">
        <v>115</v>
      </c>
    </row>
    <row r="393" spans="1:12" x14ac:dyDescent="0.2">
      <c r="A393" s="4" t="s">
        <v>238</v>
      </c>
      <c r="B393" s="5">
        <v>46170</v>
      </c>
      <c r="C393" s="4">
        <v>122976</v>
      </c>
      <c r="D393" s="4" t="s">
        <v>13</v>
      </c>
      <c r="E393" s="4">
        <v>183</v>
      </c>
      <c r="F393" s="4" t="s">
        <v>17</v>
      </c>
      <c r="G393" s="6">
        <v>0.24099999999999999</v>
      </c>
      <c r="H393" s="6">
        <v>0.85099999999999998</v>
      </c>
      <c r="I393" s="6">
        <v>8292</v>
      </c>
      <c r="J393" s="4" t="s">
        <v>15</v>
      </c>
      <c r="K393" s="10" t="s">
        <v>419</v>
      </c>
      <c r="L393" s="4" t="s">
        <v>115</v>
      </c>
    </row>
    <row r="394" spans="1:12" x14ac:dyDescent="0.2">
      <c r="A394" s="4" t="s">
        <v>238</v>
      </c>
      <c r="B394" s="5">
        <v>46170</v>
      </c>
      <c r="C394" s="4">
        <v>77340</v>
      </c>
      <c r="D394" s="4" t="s">
        <v>13</v>
      </c>
      <c r="E394" s="4">
        <v>1289</v>
      </c>
      <c r="F394" s="4" t="s">
        <v>17</v>
      </c>
      <c r="G394" s="6">
        <v>0.156</v>
      </c>
      <c r="H394" s="6">
        <v>0.91</v>
      </c>
      <c r="I394" s="6">
        <v>71540</v>
      </c>
      <c r="J394" s="4" t="s">
        <v>15</v>
      </c>
      <c r="K394" s="10" t="s">
        <v>420</v>
      </c>
      <c r="L394" s="4" t="s">
        <v>116</v>
      </c>
    </row>
    <row r="395" spans="1:12" x14ac:dyDescent="0.2">
      <c r="A395" s="4" t="s">
        <v>238</v>
      </c>
      <c r="B395" s="5">
        <v>46170</v>
      </c>
      <c r="C395" s="4">
        <v>678480</v>
      </c>
      <c r="D395" s="4" t="s">
        <v>13</v>
      </c>
      <c r="E395" s="4">
        <v>22616</v>
      </c>
      <c r="F395" s="4" t="s">
        <v>72</v>
      </c>
      <c r="G395" s="6">
        <v>1.9219999999999999</v>
      </c>
      <c r="H395" s="6">
        <v>7.7539999999999996</v>
      </c>
      <c r="I395" s="6">
        <v>152658</v>
      </c>
      <c r="J395" s="4" t="s">
        <v>15</v>
      </c>
      <c r="K395" s="10" t="s">
        <v>421</v>
      </c>
      <c r="L395" s="4" t="s">
        <v>117</v>
      </c>
    </row>
    <row r="396" spans="1:12" x14ac:dyDescent="0.2">
      <c r="A396" s="4" t="s">
        <v>238</v>
      </c>
      <c r="B396" s="5">
        <v>46170</v>
      </c>
      <c r="C396" s="4">
        <v>26400</v>
      </c>
      <c r="D396" s="4" t="s">
        <v>13</v>
      </c>
      <c r="E396" s="4">
        <v>264</v>
      </c>
      <c r="F396" s="4" t="s">
        <v>17</v>
      </c>
      <c r="G396" s="6">
        <v>2.5999999999999999E-2</v>
      </c>
      <c r="H396" s="6">
        <v>7.0000000000000001E-3</v>
      </c>
      <c r="I396" s="6">
        <v>25935</v>
      </c>
      <c r="J396" s="4" t="s">
        <v>15</v>
      </c>
      <c r="K396" s="10" t="s">
        <v>422</v>
      </c>
      <c r="L396" s="4" t="s">
        <v>118</v>
      </c>
    </row>
    <row r="397" spans="1:12" x14ac:dyDescent="0.2">
      <c r="A397" s="4" t="s">
        <v>238</v>
      </c>
      <c r="B397" s="5">
        <v>46170</v>
      </c>
      <c r="C397" s="4">
        <v>93408</v>
      </c>
      <c r="D397" s="4" t="s">
        <v>13</v>
      </c>
      <c r="E397" s="4">
        <v>139</v>
      </c>
      <c r="F397" s="4" t="s">
        <v>72</v>
      </c>
      <c r="G397" s="6">
        <v>7.3999999999999996E-2</v>
      </c>
      <c r="H397" s="6">
        <v>2.1999999999999999E-2</v>
      </c>
      <c r="I397" s="6">
        <v>1946</v>
      </c>
      <c r="J397" s="4" t="s">
        <v>15</v>
      </c>
      <c r="K397" s="10" t="s">
        <v>423</v>
      </c>
      <c r="L397" s="4" t="s">
        <v>119</v>
      </c>
    </row>
    <row r="398" spans="1:12" x14ac:dyDescent="0.2">
      <c r="A398" s="4" t="s">
        <v>238</v>
      </c>
      <c r="B398" s="5">
        <v>46170</v>
      </c>
      <c r="C398" s="4">
        <v>86688</v>
      </c>
      <c r="D398" s="4" t="s">
        <v>13</v>
      </c>
      <c r="E398" s="4">
        <v>129</v>
      </c>
      <c r="F398" s="4" t="s">
        <v>17</v>
      </c>
      <c r="G398" s="6">
        <v>8.7999999999999995E-2</v>
      </c>
      <c r="H398" s="6">
        <v>1.7000000000000001E-2</v>
      </c>
      <c r="I398" s="6">
        <v>2580</v>
      </c>
      <c r="J398" s="4" t="s">
        <v>15</v>
      </c>
      <c r="K398" s="10" t="s">
        <v>424</v>
      </c>
      <c r="L398" s="4" t="s">
        <v>120</v>
      </c>
    </row>
    <row r="399" spans="1:12" x14ac:dyDescent="0.2">
      <c r="A399" s="4" t="s">
        <v>238</v>
      </c>
      <c r="B399" s="5">
        <v>46170</v>
      </c>
      <c r="C399" s="4">
        <v>155</v>
      </c>
      <c r="D399" s="4" t="s">
        <v>13</v>
      </c>
      <c r="E399" s="4">
        <v>155</v>
      </c>
      <c r="F399" s="4" t="s">
        <v>17</v>
      </c>
      <c r="G399" s="6">
        <v>5.6000000000000001E-2</v>
      </c>
      <c r="H399" s="6">
        <v>1.2999999999999999E-2</v>
      </c>
      <c r="I399" s="6">
        <v>8525</v>
      </c>
      <c r="J399" s="4" t="s">
        <v>15</v>
      </c>
      <c r="K399" s="10" t="s">
        <v>425</v>
      </c>
      <c r="L399" s="4" t="s">
        <v>121</v>
      </c>
    </row>
    <row r="400" spans="1:12" x14ac:dyDescent="0.2">
      <c r="A400" s="4" t="s">
        <v>238</v>
      </c>
      <c r="B400" s="5">
        <v>46170</v>
      </c>
      <c r="C400" s="4">
        <v>25500</v>
      </c>
      <c r="D400" s="4" t="s">
        <v>13</v>
      </c>
      <c r="E400" s="4">
        <v>255</v>
      </c>
      <c r="F400" s="4" t="s">
        <v>17</v>
      </c>
      <c r="G400" s="6">
        <v>3.6999999999999998E-2</v>
      </c>
      <c r="H400" s="6">
        <v>0.123</v>
      </c>
      <c r="I400" s="6">
        <v>6758</v>
      </c>
      <c r="J400" s="4" t="s">
        <v>15</v>
      </c>
      <c r="K400" s="10" t="s">
        <v>426</v>
      </c>
      <c r="L400" s="4" t="s">
        <v>122</v>
      </c>
    </row>
    <row r="401" spans="1:12" x14ac:dyDescent="0.2">
      <c r="A401" s="4" t="s">
        <v>238</v>
      </c>
      <c r="B401" s="5">
        <v>46170</v>
      </c>
      <c r="C401" s="4">
        <v>4200</v>
      </c>
      <c r="D401" s="4" t="s">
        <v>13</v>
      </c>
      <c r="E401" s="4">
        <v>42</v>
      </c>
      <c r="F401" s="4" t="s">
        <v>17</v>
      </c>
      <c r="G401" s="6">
        <v>4.2000000000000003E-2</v>
      </c>
      <c r="H401" s="6">
        <v>2E-3</v>
      </c>
      <c r="I401" s="6">
        <v>187</v>
      </c>
      <c r="J401" s="4" t="s">
        <v>15</v>
      </c>
      <c r="K401" s="10" t="s">
        <v>427</v>
      </c>
      <c r="L401" s="4" t="s">
        <v>123</v>
      </c>
    </row>
    <row r="402" spans="1:12" x14ac:dyDescent="0.2">
      <c r="A402" s="4" t="s">
        <v>238</v>
      </c>
      <c r="B402" s="5">
        <v>46170</v>
      </c>
      <c r="C402" s="4">
        <v>38000</v>
      </c>
      <c r="D402" s="4" t="s">
        <v>13</v>
      </c>
      <c r="E402" s="4">
        <v>380</v>
      </c>
      <c r="F402" s="4" t="s">
        <v>17</v>
      </c>
      <c r="G402" s="6">
        <v>3.4000000000000002E-2</v>
      </c>
      <c r="H402" s="6">
        <v>8.9999999999999993E-3</v>
      </c>
      <c r="I402" s="6">
        <v>3116</v>
      </c>
      <c r="J402" s="4" t="s">
        <v>15</v>
      </c>
      <c r="K402" s="10" t="s">
        <v>428</v>
      </c>
      <c r="L402" s="4" t="s">
        <v>124</v>
      </c>
    </row>
    <row r="403" spans="1:12" x14ac:dyDescent="0.2">
      <c r="A403" s="4" t="s">
        <v>238</v>
      </c>
      <c r="B403" s="5">
        <v>46170</v>
      </c>
      <c r="C403" s="4">
        <v>1300</v>
      </c>
      <c r="D403" s="4" t="s">
        <v>13</v>
      </c>
      <c r="E403" s="4">
        <v>130</v>
      </c>
      <c r="F403" s="4" t="s">
        <v>17</v>
      </c>
      <c r="G403" s="6">
        <v>1.0999999999999999E-2</v>
      </c>
      <c r="H403" s="6">
        <v>0.04</v>
      </c>
      <c r="I403" s="6">
        <v>903</v>
      </c>
      <c r="J403" s="4" t="s">
        <v>15</v>
      </c>
      <c r="K403" s="10" t="s">
        <v>429</v>
      </c>
      <c r="L403" s="4" t="s">
        <v>125</v>
      </c>
    </row>
    <row r="404" spans="1:12" x14ac:dyDescent="0.2">
      <c r="A404" s="4" t="s">
        <v>238</v>
      </c>
      <c r="B404" s="5">
        <v>46170</v>
      </c>
      <c r="C404" s="4">
        <v>15500</v>
      </c>
      <c r="D404" s="4" t="s">
        <v>13</v>
      </c>
      <c r="E404" s="4">
        <v>1550</v>
      </c>
      <c r="F404" s="4" t="s">
        <v>17</v>
      </c>
      <c r="G404" s="6">
        <v>0.13200000000000001</v>
      </c>
      <c r="H404" s="6">
        <v>0.47099999999999997</v>
      </c>
      <c r="I404" s="6">
        <v>10773</v>
      </c>
      <c r="J404" s="4" t="s">
        <v>15</v>
      </c>
      <c r="K404" s="10" t="s">
        <v>429</v>
      </c>
      <c r="L404" s="4" t="s">
        <v>126</v>
      </c>
    </row>
    <row r="405" spans="1:12" x14ac:dyDescent="0.2">
      <c r="A405" s="4" t="s">
        <v>238</v>
      </c>
      <c r="B405" s="5">
        <v>46170</v>
      </c>
      <c r="C405" s="4">
        <v>446880</v>
      </c>
      <c r="D405" s="4" t="s">
        <v>13</v>
      </c>
      <c r="E405" s="4">
        <v>7448</v>
      </c>
      <c r="F405" s="4" t="s">
        <v>17</v>
      </c>
      <c r="G405" s="6">
        <v>0.56899999999999995</v>
      </c>
      <c r="H405" s="6">
        <v>2.0699999999999998</v>
      </c>
      <c r="I405" s="6">
        <v>37166</v>
      </c>
      <c r="J405" s="4" t="s">
        <v>15</v>
      </c>
      <c r="K405" s="10" t="s">
        <v>430</v>
      </c>
      <c r="L405" s="4" t="s">
        <v>127</v>
      </c>
    </row>
    <row r="406" spans="1:12" x14ac:dyDescent="0.2">
      <c r="A406" s="4" t="s">
        <v>238</v>
      </c>
      <c r="B406" s="5">
        <v>46170</v>
      </c>
      <c r="C406" s="4">
        <v>1168080</v>
      </c>
      <c r="D406" s="4" t="s">
        <v>13</v>
      </c>
      <c r="E406" s="4">
        <v>19468</v>
      </c>
      <c r="F406" s="4" t="s">
        <v>17</v>
      </c>
      <c r="G406" s="6">
        <v>1.4870000000000001</v>
      </c>
      <c r="H406" s="6">
        <v>5.41</v>
      </c>
      <c r="I406" s="6">
        <v>97145</v>
      </c>
      <c r="J406" s="4" t="s">
        <v>15</v>
      </c>
      <c r="K406" s="10" t="s">
        <v>431</v>
      </c>
      <c r="L406" s="4" t="s">
        <v>128</v>
      </c>
    </row>
    <row r="407" spans="1:12" x14ac:dyDescent="0.2">
      <c r="A407" s="4" t="s">
        <v>238</v>
      </c>
      <c r="B407" s="5">
        <v>46170</v>
      </c>
      <c r="C407" s="4">
        <v>1179360</v>
      </c>
      <c r="D407" s="4" t="s">
        <v>13</v>
      </c>
      <c r="E407" s="4">
        <v>19656</v>
      </c>
      <c r="F407" s="4" t="s">
        <v>17</v>
      </c>
      <c r="G407" s="6">
        <v>1.502</v>
      </c>
      <c r="H407" s="6">
        <v>5.46</v>
      </c>
      <c r="I407" s="6">
        <v>98083</v>
      </c>
      <c r="J407" s="4" t="s">
        <v>15</v>
      </c>
      <c r="K407" s="10" t="s">
        <v>431</v>
      </c>
      <c r="L407" s="4" t="s">
        <v>129</v>
      </c>
    </row>
    <row r="408" spans="1:12" x14ac:dyDescent="0.2">
      <c r="A408" s="4" t="s">
        <v>238</v>
      </c>
      <c r="B408" s="5">
        <v>46170</v>
      </c>
      <c r="C408" s="4">
        <v>859200</v>
      </c>
      <c r="D408" s="4" t="s">
        <v>13</v>
      </c>
      <c r="E408" s="4">
        <v>14320</v>
      </c>
      <c r="F408" s="4" t="s">
        <v>17</v>
      </c>
      <c r="G408" s="6">
        <v>1.0940000000000001</v>
      </c>
      <c r="H408" s="6">
        <v>3.98</v>
      </c>
      <c r="I408" s="6">
        <v>71457</v>
      </c>
      <c r="J408" s="4" t="s">
        <v>15</v>
      </c>
      <c r="K408" s="10" t="s">
        <v>431</v>
      </c>
      <c r="L408" s="4" t="s">
        <v>130</v>
      </c>
    </row>
    <row r="409" spans="1:12" x14ac:dyDescent="0.2">
      <c r="A409" s="4" t="s">
        <v>238</v>
      </c>
      <c r="B409" s="5">
        <v>46170</v>
      </c>
      <c r="C409" s="4">
        <v>1800</v>
      </c>
      <c r="D409" s="4" t="s">
        <v>13</v>
      </c>
      <c r="E409" s="4">
        <v>60</v>
      </c>
      <c r="F409" s="4" t="s">
        <v>17</v>
      </c>
      <c r="G409" s="6">
        <v>4.0000000000000001E-3</v>
      </c>
      <c r="H409" s="6">
        <v>1.2E-2</v>
      </c>
      <c r="I409" s="6">
        <v>180</v>
      </c>
      <c r="J409" s="4" t="s">
        <v>15</v>
      </c>
      <c r="K409" s="10" t="s">
        <v>395</v>
      </c>
      <c r="L409" s="4" t="s">
        <v>131</v>
      </c>
    </row>
    <row r="410" spans="1:12" x14ac:dyDescent="0.2">
      <c r="A410" s="4" t="s">
        <v>238</v>
      </c>
      <c r="B410" s="5">
        <v>46170</v>
      </c>
      <c r="C410" s="4">
        <v>14460</v>
      </c>
      <c r="D410" s="4" t="s">
        <v>13</v>
      </c>
      <c r="E410" s="4">
        <v>241</v>
      </c>
      <c r="F410" s="4" t="s">
        <v>17</v>
      </c>
      <c r="G410" s="6">
        <v>2.8000000000000001E-2</v>
      </c>
      <c r="H410" s="6">
        <v>0.13100000000000001</v>
      </c>
      <c r="I410" s="6">
        <v>13376</v>
      </c>
      <c r="J410" s="4" t="s">
        <v>15</v>
      </c>
      <c r="K410" s="10" t="s">
        <v>432</v>
      </c>
      <c r="L410" s="4" t="s">
        <v>132</v>
      </c>
    </row>
    <row r="411" spans="1:12" x14ac:dyDescent="0.2">
      <c r="A411" s="4" t="s">
        <v>238</v>
      </c>
      <c r="B411" s="5">
        <v>46170</v>
      </c>
      <c r="C411" s="4">
        <v>1980</v>
      </c>
      <c r="D411" s="4" t="s">
        <v>13</v>
      </c>
      <c r="E411" s="4">
        <v>33</v>
      </c>
      <c r="F411" s="4" t="s">
        <v>17</v>
      </c>
      <c r="G411" s="6">
        <v>4.0000000000000001E-3</v>
      </c>
      <c r="H411" s="6">
        <v>1.7999999999999999E-2</v>
      </c>
      <c r="I411" s="6">
        <v>1832</v>
      </c>
      <c r="J411" s="4" t="s">
        <v>15</v>
      </c>
      <c r="K411" s="10" t="s">
        <v>420</v>
      </c>
      <c r="L411" s="4" t="s">
        <v>133</v>
      </c>
    </row>
    <row r="412" spans="1:12" x14ac:dyDescent="0.2">
      <c r="A412" s="4" t="s">
        <v>238</v>
      </c>
      <c r="B412" s="5">
        <v>46170</v>
      </c>
      <c r="C412" s="4">
        <v>137160</v>
      </c>
      <c r="D412" s="4" t="s">
        <v>13</v>
      </c>
      <c r="E412" s="4">
        <v>2286</v>
      </c>
      <c r="F412" s="4" t="s">
        <v>17</v>
      </c>
      <c r="G412" s="6">
        <v>0.27</v>
      </c>
      <c r="H412" s="6">
        <v>1.2410000000000001</v>
      </c>
      <c r="I412" s="6">
        <v>126873</v>
      </c>
      <c r="J412" s="4" t="s">
        <v>15</v>
      </c>
      <c r="K412" s="10" t="s">
        <v>433</v>
      </c>
      <c r="L412" s="4" t="s">
        <v>134</v>
      </c>
    </row>
    <row r="413" spans="1:12" x14ac:dyDescent="0.2">
      <c r="A413" s="4" t="s">
        <v>238</v>
      </c>
      <c r="B413" s="5">
        <v>46170</v>
      </c>
      <c r="C413" s="4">
        <v>10276</v>
      </c>
      <c r="D413" s="4" t="s">
        <v>13</v>
      </c>
      <c r="E413" s="4">
        <v>734</v>
      </c>
      <c r="F413" s="4" t="s">
        <v>17</v>
      </c>
      <c r="G413" s="6">
        <v>1.028</v>
      </c>
      <c r="H413" s="6">
        <v>0.28799999999999998</v>
      </c>
      <c r="I413" s="6">
        <v>389</v>
      </c>
      <c r="J413" s="4" t="s">
        <v>15</v>
      </c>
      <c r="K413" s="10" t="s">
        <v>434</v>
      </c>
      <c r="L413" s="4" t="s">
        <v>135</v>
      </c>
    </row>
    <row r="414" spans="1:12" x14ac:dyDescent="0.2">
      <c r="A414" s="4" t="s">
        <v>238</v>
      </c>
      <c r="B414" s="5">
        <v>46170</v>
      </c>
      <c r="C414" s="4">
        <v>111</v>
      </c>
      <c r="D414" s="4" t="s">
        <v>13</v>
      </c>
      <c r="E414" s="4">
        <v>111</v>
      </c>
      <c r="F414" s="4" t="s">
        <v>14</v>
      </c>
      <c r="G414" s="6">
        <v>1.2E-2</v>
      </c>
      <c r="H414" s="6">
        <v>0.03</v>
      </c>
      <c r="I414" s="6">
        <v>56</v>
      </c>
      <c r="J414" s="4" t="s">
        <v>15</v>
      </c>
      <c r="K414" s="10" t="s">
        <v>435</v>
      </c>
      <c r="L414" s="4" t="s">
        <v>136</v>
      </c>
    </row>
    <row r="415" spans="1:12" x14ac:dyDescent="0.2">
      <c r="A415" s="4" t="s">
        <v>238</v>
      </c>
      <c r="B415" s="5">
        <v>46170</v>
      </c>
      <c r="C415" s="4">
        <v>627800</v>
      </c>
      <c r="D415" s="4" t="s">
        <v>13</v>
      </c>
      <c r="E415" s="4">
        <v>10463</v>
      </c>
      <c r="F415" s="4" t="s">
        <v>17</v>
      </c>
      <c r="G415" s="6">
        <v>0.52300000000000002</v>
      </c>
      <c r="H415" s="6">
        <v>2.8250000000000002</v>
      </c>
      <c r="I415" s="6">
        <v>36622</v>
      </c>
      <c r="J415" s="4" t="s">
        <v>15</v>
      </c>
      <c r="K415" s="10" t="s">
        <v>436</v>
      </c>
      <c r="L415" s="4" t="s">
        <v>137</v>
      </c>
    </row>
    <row r="416" spans="1:12" x14ac:dyDescent="0.2">
      <c r="A416" s="4" t="s">
        <v>238</v>
      </c>
      <c r="B416" s="5">
        <v>46170</v>
      </c>
      <c r="C416" s="4">
        <v>393600</v>
      </c>
      <c r="D416" s="4" t="s">
        <v>13</v>
      </c>
      <c r="E416" s="4">
        <v>6560</v>
      </c>
      <c r="F416" s="4" t="s">
        <v>17</v>
      </c>
      <c r="G416" s="6">
        <v>0.32800000000000001</v>
      </c>
      <c r="H416" s="6">
        <v>1.7709999999999999</v>
      </c>
      <c r="I416" s="6">
        <v>22960</v>
      </c>
      <c r="J416" s="4" t="s">
        <v>15</v>
      </c>
      <c r="K416" s="10" t="s">
        <v>436</v>
      </c>
      <c r="L416" s="4" t="s">
        <v>137</v>
      </c>
    </row>
    <row r="417" spans="1:12" x14ac:dyDescent="0.2">
      <c r="A417" s="4" t="s">
        <v>238</v>
      </c>
      <c r="B417" s="5">
        <v>46170</v>
      </c>
      <c r="C417" s="4">
        <v>407880</v>
      </c>
      <c r="D417" s="4" t="s">
        <v>13</v>
      </c>
      <c r="E417" s="4">
        <v>6798</v>
      </c>
      <c r="F417" s="4" t="s">
        <v>17</v>
      </c>
      <c r="G417" s="6">
        <v>0.38700000000000001</v>
      </c>
      <c r="H417" s="6">
        <v>1.264</v>
      </c>
      <c r="I417" s="6">
        <v>22094</v>
      </c>
      <c r="J417" s="4" t="s">
        <v>15</v>
      </c>
      <c r="K417" s="10" t="s">
        <v>437</v>
      </c>
      <c r="L417" s="4" t="s">
        <v>138</v>
      </c>
    </row>
    <row r="418" spans="1:12" x14ac:dyDescent="0.2">
      <c r="A418" s="4" t="s">
        <v>238</v>
      </c>
      <c r="B418" s="5">
        <v>46170</v>
      </c>
      <c r="C418" s="4">
        <v>450</v>
      </c>
      <c r="D418" s="4" t="s">
        <v>13</v>
      </c>
      <c r="E418" s="4">
        <v>450</v>
      </c>
      <c r="F418" s="4" t="s">
        <v>14</v>
      </c>
      <c r="G418" s="6">
        <v>1.4E-2</v>
      </c>
      <c r="H418" s="6">
        <v>0.19700000000000001</v>
      </c>
      <c r="I418" s="6">
        <v>76</v>
      </c>
      <c r="J418" s="4" t="s">
        <v>15</v>
      </c>
      <c r="K418" s="10" t="s">
        <v>438</v>
      </c>
      <c r="L418" s="4" t="s">
        <v>139</v>
      </c>
    </row>
    <row r="419" spans="1:12" x14ac:dyDescent="0.2">
      <c r="A419" s="4" t="s">
        <v>238</v>
      </c>
      <c r="B419" s="5">
        <v>46170</v>
      </c>
      <c r="C419" s="4">
        <v>40</v>
      </c>
      <c r="D419" s="4" t="s">
        <v>13</v>
      </c>
      <c r="E419" s="4">
        <v>40</v>
      </c>
      <c r="F419" s="4" t="s">
        <v>14</v>
      </c>
      <c r="G419" s="6">
        <v>0.55000000000000004</v>
      </c>
      <c r="H419" s="6">
        <v>0.93200000000000005</v>
      </c>
      <c r="I419" s="6">
        <v>2200</v>
      </c>
      <c r="J419" s="4" t="s">
        <v>15</v>
      </c>
      <c r="K419" s="10" t="s">
        <v>439</v>
      </c>
      <c r="L419" s="4" t="s">
        <v>140</v>
      </c>
    </row>
    <row r="420" spans="1:12" x14ac:dyDescent="0.2">
      <c r="A420" s="4" t="s">
        <v>238</v>
      </c>
      <c r="B420" s="5">
        <v>46170</v>
      </c>
      <c r="C420" s="4">
        <v>18800</v>
      </c>
      <c r="D420" s="4" t="s">
        <v>13</v>
      </c>
      <c r="E420" s="4">
        <v>188</v>
      </c>
      <c r="F420" s="4" t="s">
        <v>17</v>
      </c>
      <c r="G420" s="6">
        <v>2.3E-2</v>
      </c>
      <c r="H420" s="6">
        <v>9.4E-2</v>
      </c>
      <c r="I420" s="6">
        <v>414</v>
      </c>
      <c r="J420" s="4" t="s">
        <v>15</v>
      </c>
      <c r="K420" s="10" t="s">
        <v>440</v>
      </c>
      <c r="L420" s="4" t="s">
        <v>141</v>
      </c>
    </row>
    <row r="421" spans="1:12" x14ac:dyDescent="0.2">
      <c r="A421" s="4" t="s">
        <v>238</v>
      </c>
      <c r="B421" s="5">
        <v>46170</v>
      </c>
      <c r="C421" s="4">
        <v>45000</v>
      </c>
      <c r="D421" s="4" t="s">
        <v>13</v>
      </c>
      <c r="E421" s="4">
        <v>45</v>
      </c>
      <c r="F421" s="4" t="s">
        <v>17</v>
      </c>
      <c r="G421" s="6">
        <v>2.1000000000000001E-2</v>
      </c>
      <c r="H421" s="6">
        <v>6.5000000000000002E-2</v>
      </c>
      <c r="I421" s="6">
        <v>1247</v>
      </c>
      <c r="J421" s="4" t="s">
        <v>15</v>
      </c>
      <c r="K421" s="10" t="s">
        <v>441</v>
      </c>
      <c r="L421" s="4" t="s">
        <v>142</v>
      </c>
    </row>
    <row r="422" spans="1:12" x14ac:dyDescent="0.2">
      <c r="A422" s="4" t="s">
        <v>238</v>
      </c>
      <c r="B422" s="5">
        <v>46170</v>
      </c>
      <c r="C422" s="4">
        <v>201500</v>
      </c>
      <c r="D422" s="4" t="s">
        <v>13</v>
      </c>
      <c r="E422" s="4">
        <v>403</v>
      </c>
      <c r="F422" s="4" t="s">
        <v>17</v>
      </c>
      <c r="G422" s="6">
        <v>0.28199999999999997</v>
      </c>
      <c r="H422" s="6">
        <v>1.8939999999999999</v>
      </c>
      <c r="I422" s="6">
        <v>3325</v>
      </c>
      <c r="J422" s="4" t="s">
        <v>15</v>
      </c>
      <c r="K422" s="10" t="s">
        <v>442</v>
      </c>
      <c r="L422" s="4" t="s">
        <v>143</v>
      </c>
    </row>
    <row r="423" spans="1:12" x14ac:dyDescent="0.2">
      <c r="A423" s="4" t="s">
        <v>238</v>
      </c>
      <c r="B423" s="5">
        <v>46170</v>
      </c>
      <c r="C423" s="4">
        <v>2000</v>
      </c>
      <c r="D423" s="4" t="s">
        <v>13</v>
      </c>
      <c r="E423" s="4">
        <v>4</v>
      </c>
      <c r="F423" s="4" t="s">
        <v>17</v>
      </c>
      <c r="G423" s="6">
        <v>3.0000000000000001E-3</v>
      </c>
      <c r="H423" s="6">
        <v>1.9E-2</v>
      </c>
      <c r="I423" s="6">
        <v>33</v>
      </c>
      <c r="J423" s="4" t="s">
        <v>15</v>
      </c>
      <c r="K423" s="10" t="s">
        <v>442</v>
      </c>
      <c r="L423" s="4" t="s">
        <v>143</v>
      </c>
    </row>
    <row r="424" spans="1:12" x14ac:dyDescent="0.2">
      <c r="A424" s="4" t="s">
        <v>238</v>
      </c>
      <c r="B424" s="5">
        <v>46170</v>
      </c>
      <c r="C424" s="4">
        <v>4980</v>
      </c>
      <c r="D424" s="4" t="s">
        <v>13</v>
      </c>
      <c r="E424" s="4">
        <v>9</v>
      </c>
      <c r="F424" s="4" t="s">
        <v>17</v>
      </c>
      <c r="G424" s="6">
        <v>1E-3</v>
      </c>
      <c r="H424" s="6">
        <v>7.0000000000000001E-3</v>
      </c>
      <c r="I424" s="6">
        <v>57</v>
      </c>
      <c r="J424" s="4" t="s">
        <v>15</v>
      </c>
      <c r="K424" s="10" t="s">
        <v>443</v>
      </c>
      <c r="L424" s="4" t="s">
        <v>144</v>
      </c>
    </row>
    <row r="425" spans="1:12" x14ac:dyDescent="0.2">
      <c r="A425" s="4" t="s">
        <v>238</v>
      </c>
      <c r="B425" s="5">
        <v>46170</v>
      </c>
      <c r="C425" s="4">
        <v>45</v>
      </c>
      <c r="D425" s="4" t="s">
        <v>13</v>
      </c>
      <c r="E425" s="4">
        <v>45</v>
      </c>
      <c r="F425" s="4" t="s">
        <v>14</v>
      </c>
      <c r="G425" s="6">
        <v>5.3999999999999999E-2</v>
      </c>
      <c r="H425" s="6">
        <v>0.113</v>
      </c>
      <c r="I425" s="6">
        <v>175</v>
      </c>
      <c r="J425" s="4" t="s">
        <v>15</v>
      </c>
      <c r="K425" s="10" t="s">
        <v>444</v>
      </c>
      <c r="L425" s="4" t="s">
        <v>145</v>
      </c>
    </row>
    <row r="426" spans="1:12" x14ac:dyDescent="0.2">
      <c r="A426" s="4" t="s">
        <v>238</v>
      </c>
      <c r="B426" s="5">
        <v>46170</v>
      </c>
      <c r="C426" s="4">
        <v>34</v>
      </c>
      <c r="D426" s="4" t="s">
        <v>13</v>
      </c>
      <c r="E426" s="4">
        <v>34</v>
      </c>
      <c r="F426" s="4" t="s">
        <v>14</v>
      </c>
      <c r="G426" s="6">
        <v>0.17299999999999999</v>
      </c>
      <c r="H426" s="6">
        <v>0.17299999999999999</v>
      </c>
      <c r="I426" s="6">
        <v>909</v>
      </c>
      <c r="J426" s="4" t="s">
        <v>15</v>
      </c>
      <c r="K426" s="10" t="s">
        <v>445</v>
      </c>
      <c r="L426" s="4" t="s">
        <v>146</v>
      </c>
    </row>
    <row r="427" spans="1:12" x14ac:dyDescent="0.2">
      <c r="A427" s="4" t="s">
        <v>238</v>
      </c>
      <c r="B427" s="5">
        <v>46170</v>
      </c>
      <c r="C427" s="4">
        <v>900</v>
      </c>
      <c r="D427" s="4" t="s">
        <v>13</v>
      </c>
      <c r="E427" s="4">
        <v>30</v>
      </c>
      <c r="F427" s="4" t="s">
        <v>17</v>
      </c>
      <c r="G427" s="6">
        <v>4.0000000000000001E-3</v>
      </c>
      <c r="H427" s="6">
        <v>3.0000000000000001E-3</v>
      </c>
      <c r="I427" s="6">
        <v>207</v>
      </c>
      <c r="J427" s="4" t="s">
        <v>15</v>
      </c>
      <c r="K427" s="10" t="s">
        <v>446</v>
      </c>
      <c r="L427" s="4" t="s">
        <v>147</v>
      </c>
    </row>
    <row r="428" spans="1:12" x14ac:dyDescent="0.2">
      <c r="A428" s="4" t="s">
        <v>238</v>
      </c>
      <c r="B428" s="5">
        <v>46170</v>
      </c>
      <c r="C428" s="4">
        <v>7950</v>
      </c>
      <c r="D428" s="4" t="s">
        <v>13</v>
      </c>
      <c r="E428" s="4">
        <v>265</v>
      </c>
      <c r="F428" s="4" t="s">
        <v>17</v>
      </c>
      <c r="G428" s="6">
        <v>3.2000000000000001E-2</v>
      </c>
      <c r="H428" s="6">
        <v>2.4E-2</v>
      </c>
      <c r="I428" s="6">
        <v>1831</v>
      </c>
      <c r="J428" s="4" t="s">
        <v>15</v>
      </c>
      <c r="K428" s="10" t="s">
        <v>447</v>
      </c>
      <c r="L428" s="4" t="s">
        <v>147</v>
      </c>
    </row>
    <row r="429" spans="1:12" x14ac:dyDescent="0.2">
      <c r="A429" s="4" t="s">
        <v>238</v>
      </c>
      <c r="B429" s="5">
        <v>46170</v>
      </c>
      <c r="C429" s="4">
        <v>1650</v>
      </c>
      <c r="D429" s="4" t="s">
        <v>13</v>
      </c>
      <c r="E429" s="4">
        <v>55</v>
      </c>
      <c r="F429" s="4" t="s">
        <v>17</v>
      </c>
      <c r="G429" s="6">
        <v>7.0000000000000001E-3</v>
      </c>
      <c r="H429" s="6">
        <v>5.0000000000000001E-3</v>
      </c>
      <c r="I429" s="6">
        <v>380</v>
      </c>
      <c r="J429" s="4" t="s">
        <v>15</v>
      </c>
      <c r="K429" s="10" t="s">
        <v>447</v>
      </c>
      <c r="L429" s="4" t="s">
        <v>147</v>
      </c>
    </row>
    <row r="430" spans="1:12" x14ac:dyDescent="0.2">
      <c r="A430" s="4" t="s">
        <v>238</v>
      </c>
      <c r="B430" s="5">
        <v>46170</v>
      </c>
      <c r="C430" s="4">
        <v>2340</v>
      </c>
      <c r="D430" s="4" t="s">
        <v>13</v>
      </c>
      <c r="E430" s="4">
        <v>78</v>
      </c>
      <c r="F430" s="4" t="s">
        <v>17</v>
      </c>
      <c r="G430" s="6">
        <v>8.9999999999999993E-3</v>
      </c>
      <c r="H430" s="6">
        <v>7.0000000000000001E-3</v>
      </c>
      <c r="I430" s="6">
        <v>539</v>
      </c>
      <c r="J430" s="4" t="s">
        <v>15</v>
      </c>
      <c r="K430" s="10" t="s">
        <v>447</v>
      </c>
      <c r="L430" s="4" t="s">
        <v>148</v>
      </c>
    </row>
    <row r="431" spans="1:12" x14ac:dyDescent="0.2">
      <c r="A431" s="4" t="s">
        <v>238</v>
      </c>
      <c r="B431" s="5">
        <v>46170</v>
      </c>
      <c r="C431" s="4">
        <v>4890</v>
      </c>
      <c r="D431" s="4" t="s">
        <v>13</v>
      </c>
      <c r="E431" s="4">
        <v>489</v>
      </c>
      <c r="F431" s="4" t="s">
        <v>17</v>
      </c>
      <c r="G431" s="6">
        <v>0.127</v>
      </c>
      <c r="H431" s="6">
        <v>0.223</v>
      </c>
      <c r="I431" s="6">
        <v>807</v>
      </c>
      <c r="J431" s="4" t="s">
        <v>15</v>
      </c>
      <c r="K431" s="10" t="s">
        <v>448</v>
      </c>
      <c r="L431" s="4" t="s">
        <v>149</v>
      </c>
    </row>
    <row r="432" spans="1:12" x14ac:dyDescent="0.2">
      <c r="A432" s="4" t="s">
        <v>238</v>
      </c>
      <c r="B432" s="5">
        <v>46170</v>
      </c>
      <c r="C432" s="4">
        <v>30</v>
      </c>
      <c r="D432" s="4" t="s">
        <v>13</v>
      </c>
      <c r="E432" s="4">
        <v>0</v>
      </c>
      <c r="F432" s="4" t="s">
        <v>17</v>
      </c>
      <c r="G432" s="6">
        <v>0</v>
      </c>
      <c r="H432" s="6">
        <v>0</v>
      </c>
      <c r="I432" s="6">
        <v>1</v>
      </c>
      <c r="J432" s="4" t="s">
        <v>15</v>
      </c>
      <c r="K432" s="10" t="s">
        <v>449</v>
      </c>
      <c r="L432" s="4" t="s">
        <v>150</v>
      </c>
    </row>
    <row r="433" spans="1:12" x14ac:dyDescent="0.2">
      <c r="A433" s="4" t="s">
        <v>238</v>
      </c>
      <c r="B433" s="5">
        <v>46170</v>
      </c>
      <c r="C433" s="4">
        <v>4103</v>
      </c>
      <c r="D433" s="4" t="s">
        <v>13</v>
      </c>
      <c r="E433" s="4">
        <v>4103</v>
      </c>
      <c r="F433" s="4" t="s">
        <v>98</v>
      </c>
      <c r="G433" s="6">
        <v>0.626</v>
      </c>
      <c r="H433" s="6">
        <v>1.2999999999999999E-2</v>
      </c>
      <c r="I433" s="6">
        <v>5129</v>
      </c>
      <c r="J433" s="4" t="s">
        <v>15</v>
      </c>
      <c r="K433" s="10" t="s">
        <v>450</v>
      </c>
      <c r="L433" s="4" t="s">
        <v>151</v>
      </c>
    </row>
    <row r="434" spans="1:12" x14ac:dyDescent="0.2">
      <c r="A434" s="4" t="s">
        <v>238</v>
      </c>
      <c r="B434" s="5">
        <v>46170</v>
      </c>
      <c r="C434" s="4">
        <v>1057</v>
      </c>
      <c r="D434" s="4" t="s">
        <v>13</v>
      </c>
      <c r="E434" s="4">
        <v>1057</v>
      </c>
      <c r="F434" s="4" t="s">
        <v>98</v>
      </c>
      <c r="G434" s="6">
        <v>0.127</v>
      </c>
      <c r="H434" s="6">
        <v>0.38</v>
      </c>
      <c r="I434" s="6">
        <v>1628</v>
      </c>
      <c r="J434" s="4" t="s">
        <v>15</v>
      </c>
      <c r="K434" s="10" t="s">
        <v>451</v>
      </c>
      <c r="L434" s="4" t="s">
        <v>152</v>
      </c>
    </row>
    <row r="435" spans="1:12" x14ac:dyDescent="0.2">
      <c r="A435" s="4" t="s">
        <v>238</v>
      </c>
      <c r="B435" s="5">
        <v>46170</v>
      </c>
      <c r="C435" s="4">
        <v>84370</v>
      </c>
      <c r="D435" s="4" t="s">
        <v>13</v>
      </c>
      <c r="E435" s="4">
        <v>8437</v>
      </c>
      <c r="F435" s="4" t="s">
        <v>98</v>
      </c>
      <c r="G435" s="6">
        <v>3.4000000000000002E-2</v>
      </c>
      <c r="H435" s="6">
        <v>0.10100000000000001</v>
      </c>
      <c r="I435" s="6">
        <v>541</v>
      </c>
      <c r="J435" s="4" t="s">
        <v>15</v>
      </c>
      <c r="K435" s="10" t="s">
        <v>452</v>
      </c>
      <c r="L435" s="4" t="s">
        <v>153</v>
      </c>
    </row>
    <row r="436" spans="1:12" x14ac:dyDescent="0.2">
      <c r="A436" s="4" t="s">
        <v>238</v>
      </c>
      <c r="B436" s="5">
        <v>46170</v>
      </c>
      <c r="C436" s="4">
        <v>294000</v>
      </c>
      <c r="D436" s="4" t="s">
        <v>13</v>
      </c>
      <c r="E436" s="4">
        <v>29400</v>
      </c>
      <c r="F436" s="4" t="s">
        <v>98</v>
      </c>
      <c r="G436" s="6">
        <v>0.11799999999999999</v>
      </c>
      <c r="H436" s="6">
        <v>0.35299999999999998</v>
      </c>
      <c r="I436" s="6">
        <v>1885</v>
      </c>
      <c r="J436" s="4" t="s">
        <v>15</v>
      </c>
      <c r="K436" s="10" t="s">
        <v>453</v>
      </c>
      <c r="L436" s="4" t="s">
        <v>153</v>
      </c>
    </row>
    <row r="437" spans="1:12" x14ac:dyDescent="0.2">
      <c r="A437" s="4" t="s">
        <v>238</v>
      </c>
      <c r="B437" s="5">
        <v>46170</v>
      </c>
      <c r="C437" s="4">
        <v>4100</v>
      </c>
      <c r="D437" s="4" t="s">
        <v>13</v>
      </c>
      <c r="E437" s="4">
        <v>41</v>
      </c>
      <c r="F437" s="4" t="s">
        <v>72</v>
      </c>
      <c r="G437" s="6">
        <v>9.8000000000000004E-2</v>
      </c>
      <c r="H437" s="6">
        <v>0.26900000000000002</v>
      </c>
      <c r="I437" s="6">
        <v>183</v>
      </c>
      <c r="J437" s="4" t="s">
        <v>15</v>
      </c>
      <c r="K437" s="10" t="s">
        <v>454</v>
      </c>
      <c r="L437" s="4" t="s">
        <v>154</v>
      </c>
    </row>
    <row r="438" spans="1:12" x14ac:dyDescent="0.2">
      <c r="A438" s="4" t="s">
        <v>238</v>
      </c>
      <c r="B438" s="5">
        <v>46170</v>
      </c>
      <c r="C438" s="4">
        <v>2400</v>
      </c>
      <c r="D438" s="4" t="s">
        <v>13</v>
      </c>
      <c r="E438" s="4">
        <v>24</v>
      </c>
      <c r="F438" s="4" t="s">
        <v>72</v>
      </c>
      <c r="G438" s="6">
        <v>5.8000000000000003E-2</v>
      </c>
      <c r="H438" s="6">
        <v>0.157</v>
      </c>
      <c r="I438" s="6">
        <v>107</v>
      </c>
      <c r="J438" s="4" t="s">
        <v>15</v>
      </c>
      <c r="K438" s="10" t="s">
        <v>455</v>
      </c>
      <c r="L438" s="4" t="s">
        <v>154</v>
      </c>
    </row>
    <row r="439" spans="1:12" x14ac:dyDescent="0.2">
      <c r="A439" s="4" t="s">
        <v>238</v>
      </c>
      <c r="B439" s="5">
        <v>46170</v>
      </c>
      <c r="C439" s="4">
        <v>92000</v>
      </c>
      <c r="D439" s="4" t="s">
        <v>13</v>
      </c>
      <c r="E439" s="4">
        <v>92</v>
      </c>
      <c r="F439" s="4" t="s">
        <v>17</v>
      </c>
      <c r="G439" s="6">
        <v>0.01</v>
      </c>
      <c r="H439" s="6">
        <v>0.03</v>
      </c>
      <c r="I439" s="6">
        <v>284</v>
      </c>
      <c r="J439" s="4" t="s">
        <v>15</v>
      </c>
      <c r="K439" s="10" t="s">
        <v>456</v>
      </c>
      <c r="L439" s="4" t="s">
        <v>155</v>
      </c>
    </row>
    <row r="440" spans="1:12" x14ac:dyDescent="0.2">
      <c r="A440" s="4" t="s">
        <v>238</v>
      </c>
      <c r="B440" s="5">
        <v>46170</v>
      </c>
      <c r="C440" s="4">
        <v>37400</v>
      </c>
      <c r="D440" s="4" t="s">
        <v>13</v>
      </c>
      <c r="E440" s="4">
        <v>374</v>
      </c>
      <c r="F440" s="4" t="s">
        <v>17</v>
      </c>
      <c r="G440" s="6">
        <v>5.6000000000000001E-2</v>
      </c>
      <c r="H440" s="6">
        <v>0.17699999999999999</v>
      </c>
      <c r="I440" s="6">
        <v>2203</v>
      </c>
      <c r="J440" s="4" t="s">
        <v>15</v>
      </c>
      <c r="K440" s="10" t="s">
        <v>457</v>
      </c>
      <c r="L440" s="4" t="s">
        <v>156</v>
      </c>
    </row>
    <row r="441" spans="1:12" x14ac:dyDescent="0.2">
      <c r="A441" s="4" t="s">
        <v>238</v>
      </c>
      <c r="B441" s="5">
        <v>46170</v>
      </c>
      <c r="C441" s="4">
        <v>1800</v>
      </c>
      <c r="D441" s="4" t="s">
        <v>13</v>
      </c>
      <c r="E441" s="4">
        <v>180</v>
      </c>
      <c r="F441" s="4" t="s">
        <v>17</v>
      </c>
      <c r="G441" s="6">
        <v>4.7E-2</v>
      </c>
      <c r="H441" s="6">
        <v>8.2000000000000003E-2</v>
      </c>
      <c r="I441" s="6">
        <v>329</v>
      </c>
      <c r="J441" s="4" t="s">
        <v>15</v>
      </c>
      <c r="K441" s="10" t="s">
        <v>458</v>
      </c>
      <c r="L441" s="4" t="s">
        <v>149</v>
      </c>
    </row>
    <row r="442" spans="1:12" x14ac:dyDescent="0.2">
      <c r="A442" s="4" t="s">
        <v>238</v>
      </c>
      <c r="B442" s="5">
        <v>46170</v>
      </c>
      <c r="C442" s="4">
        <v>1250</v>
      </c>
      <c r="D442" s="4" t="s">
        <v>13</v>
      </c>
      <c r="E442" s="4">
        <v>1250</v>
      </c>
      <c r="F442" s="4" t="s">
        <v>98</v>
      </c>
      <c r="G442" s="6">
        <v>8.0000000000000002E-3</v>
      </c>
      <c r="H442" s="6">
        <v>2.3E-2</v>
      </c>
      <c r="I442" s="6">
        <v>1201</v>
      </c>
      <c r="J442" s="4" t="s">
        <v>15</v>
      </c>
      <c r="K442" s="10" t="s">
        <v>459</v>
      </c>
      <c r="L442" s="4" t="s">
        <v>157</v>
      </c>
    </row>
    <row r="443" spans="1:12" x14ac:dyDescent="0.2">
      <c r="A443" s="4" t="s">
        <v>238</v>
      </c>
      <c r="B443" s="5">
        <v>46170</v>
      </c>
      <c r="C443" s="4">
        <v>73000</v>
      </c>
      <c r="D443" s="4" t="s">
        <v>13</v>
      </c>
      <c r="E443" s="4">
        <v>73</v>
      </c>
      <c r="F443" s="4" t="s">
        <v>17</v>
      </c>
      <c r="G443" s="6">
        <v>6.0999999999999999E-2</v>
      </c>
      <c r="H443" s="6">
        <v>0.10199999999999999</v>
      </c>
      <c r="I443" s="6">
        <v>1086</v>
      </c>
      <c r="J443" s="4" t="s">
        <v>15</v>
      </c>
      <c r="K443" s="10" t="s">
        <v>460</v>
      </c>
      <c r="L443" s="4" t="s">
        <v>158</v>
      </c>
    </row>
    <row r="444" spans="1:12" x14ac:dyDescent="0.2">
      <c r="A444" s="4" t="s">
        <v>238</v>
      </c>
      <c r="B444" s="5">
        <v>46170</v>
      </c>
      <c r="C444" s="4">
        <v>180000</v>
      </c>
      <c r="D444" s="4" t="s">
        <v>13</v>
      </c>
      <c r="E444" s="4">
        <v>180</v>
      </c>
      <c r="F444" s="4" t="s">
        <v>17</v>
      </c>
      <c r="G444" s="6">
        <v>8.5000000000000006E-2</v>
      </c>
      <c r="H444" s="6">
        <v>0.28000000000000003</v>
      </c>
      <c r="I444" s="6">
        <v>6138</v>
      </c>
      <c r="J444" s="4" t="s">
        <v>15</v>
      </c>
      <c r="K444" s="10" t="s">
        <v>461</v>
      </c>
      <c r="L444" s="4" t="s">
        <v>142</v>
      </c>
    </row>
    <row r="445" spans="1:12" x14ac:dyDescent="0.2">
      <c r="A445" s="4" t="s">
        <v>238</v>
      </c>
      <c r="B445" s="5">
        <v>46170</v>
      </c>
      <c r="C445" s="4">
        <v>37860</v>
      </c>
      <c r="D445" s="4" t="s">
        <v>13</v>
      </c>
      <c r="E445" s="4">
        <v>631</v>
      </c>
      <c r="F445" s="4" t="s">
        <v>17</v>
      </c>
      <c r="G445" s="6">
        <v>8.2000000000000003E-2</v>
      </c>
      <c r="H445" s="6">
        <v>0.24399999999999999</v>
      </c>
      <c r="I445" s="6">
        <v>3748</v>
      </c>
      <c r="J445" s="4" t="s">
        <v>15</v>
      </c>
      <c r="K445" s="10" t="s">
        <v>462</v>
      </c>
      <c r="L445" s="4" t="s">
        <v>159</v>
      </c>
    </row>
    <row r="446" spans="1:12" x14ac:dyDescent="0.2">
      <c r="A446" s="4" t="s">
        <v>238</v>
      </c>
      <c r="B446" s="5">
        <v>46170</v>
      </c>
      <c r="C446" s="4">
        <v>5000</v>
      </c>
      <c r="D446" s="4" t="s">
        <v>13</v>
      </c>
      <c r="E446" s="4">
        <v>500</v>
      </c>
      <c r="F446" s="4" t="s">
        <v>17</v>
      </c>
      <c r="G446" s="6">
        <v>0.13</v>
      </c>
      <c r="H446" s="6">
        <v>0.22800000000000001</v>
      </c>
      <c r="I446" s="6">
        <v>775</v>
      </c>
      <c r="J446" s="4" t="s">
        <v>15</v>
      </c>
      <c r="K446" s="10" t="s">
        <v>463</v>
      </c>
      <c r="L446" s="4" t="s">
        <v>160</v>
      </c>
    </row>
    <row r="447" spans="1:12" x14ac:dyDescent="0.2">
      <c r="A447" s="4" t="s">
        <v>238</v>
      </c>
      <c r="B447" s="5">
        <v>46170</v>
      </c>
      <c r="C447" s="4">
        <v>90720</v>
      </c>
      <c r="D447" s="4" t="s">
        <v>13</v>
      </c>
      <c r="E447" s="4">
        <v>1008</v>
      </c>
      <c r="F447" s="4" t="s">
        <v>17</v>
      </c>
      <c r="G447" s="6">
        <v>0.115</v>
      </c>
      <c r="H447" s="6">
        <v>0.251</v>
      </c>
      <c r="I447" s="6">
        <v>9374</v>
      </c>
      <c r="J447" s="4" t="s">
        <v>15</v>
      </c>
      <c r="K447" s="10" t="s">
        <v>464</v>
      </c>
      <c r="L447" s="4" t="s">
        <v>161</v>
      </c>
    </row>
    <row r="448" spans="1:12" x14ac:dyDescent="0.2">
      <c r="A448" s="4" t="s">
        <v>238</v>
      </c>
      <c r="B448" s="5">
        <v>46170</v>
      </c>
      <c r="C448" s="4">
        <v>1765</v>
      </c>
      <c r="D448" s="4" t="s">
        <v>13</v>
      </c>
      <c r="E448" s="4">
        <v>1765</v>
      </c>
      <c r="F448" s="4" t="s">
        <v>98</v>
      </c>
      <c r="G448" s="6">
        <v>0.251</v>
      </c>
      <c r="H448" s="6">
        <v>0.72</v>
      </c>
      <c r="I448" s="6">
        <v>3671</v>
      </c>
      <c r="J448" s="4" t="s">
        <v>15</v>
      </c>
      <c r="K448" s="10" t="s">
        <v>465</v>
      </c>
      <c r="L448" s="4" t="s">
        <v>162</v>
      </c>
    </row>
    <row r="449" spans="1:12" x14ac:dyDescent="0.2">
      <c r="A449" s="4" t="s">
        <v>238</v>
      </c>
      <c r="B449" s="5">
        <v>46170</v>
      </c>
      <c r="C449" s="4">
        <v>1000</v>
      </c>
      <c r="D449" s="4" t="s">
        <v>13</v>
      </c>
      <c r="E449" s="4">
        <v>1</v>
      </c>
      <c r="F449" s="4" t="s">
        <v>17</v>
      </c>
      <c r="G449" s="6">
        <v>1E-3</v>
      </c>
      <c r="H449" s="6">
        <v>2E-3</v>
      </c>
      <c r="I449" s="6">
        <v>9</v>
      </c>
      <c r="J449" s="4" t="s">
        <v>15</v>
      </c>
      <c r="K449" s="10" t="s">
        <v>466</v>
      </c>
      <c r="L449" s="4" t="s">
        <v>163</v>
      </c>
    </row>
    <row r="450" spans="1:12" x14ac:dyDescent="0.2">
      <c r="A450" s="4" t="s">
        <v>238</v>
      </c>
      <c r="B450" s="5">
        <v>46170</v>
      </c>
      <c r="C450" s="4">
        <v>20</v>
      </c>
      <c r="D450" s="4" t="s">
        <v>13</v>
      </c>
      <c r="E450" s="4">
        <v>20</v>
      </c>
      <c r="F450" s="4" t="s">
        <v>17</v>
      </c>
      <c r="G450" s="6">
        <v>3.0000000000000001E-3</v>
      </c>
      <c r="H450" s="6">
        <v>0</v>
      </c>
      <c r="I450" s="6">
        <v>25</v>
      </c>
      <c r="J450" s="4" t="s">
        <v>15</v>
      </c>
      <c r="K450" s="10" t="s">
        <v>450</v>
      </c>
      <c r="L450" s="4" t="s">
        <v>164</v>
      </c>
    </row>
    <row r="451" spans="1:12" x14ac:dyDescent="0.2">
      <c r="A451" s="4" t="s">
        <v>238</v>
      </c>
      <c r="B451" s="5">
        <v>46170</v>
      </c>
      <c r="C451" s="4">
        <v>2</v>
      </c>
      <c r="D451" s="4" t="s">
        <v>13</v>
      </c>
      <c r="E451" s="4">
        <v>0</v>
      </c>
      <c r="F451" s="4" t="s">
        <v>17</v>
      </c>
      <c r="G451" s="6">
        <v>1E-3</v>
      </c>
      <c r="H451" s="6">
        <v>2E-3</v>
      </c>
      <c r="I451" s="6">
        <v>0</v>
      </c>
      <c r="J451" s="4" t="s">
        <v>15</v>
      </c>
      <c r="K451" s="10" t="s">
        <v>467</v>
      </c>
      <c r="L451" s="4" t="s">
        <v>165</v>
      </c>
    </row>
    <row r="452" spans="1:12" x14ac:dyDescent="0.2">
      <c r="A452" s="4" t="s">
        <v>238</v>
      </c>
      <c r="B452" s="5">
        <v>46170</v>
      </c>
      <c r="C452" s="4">
        <v>810</v>
      </c>
      <c r="D452" s="4" t="s">
        <v>13</v>
      </c>
      <c r="E452" s="4">
        <v>40</v>
      </c>
      <c r="F452" s="4" t="s">
        <v>17</v>
      </c>
      <c r="G452" s="6">
        <v>0.47599999999999998</v>
      </c>
      <c r="H452" s="6">
        <v>0.82599999999999996</v>
      </c>
      <c r="I452" s="6">
        <v>178</v>
      </c>
      <c r="J452" s="4" t="s">
        <v>15</v>
      </c>
      <c r="K452" s="10" t="s">
        <v>467</v>
      </c>
      <c r="L452" s="4" t="s">
        <v>165</v>
      </c>
    </row>
    <row r="453" spans="1:12" x14ac:dyDescent="0.2">
      <c r="A453" s="4" t="s">
        <v>238</v>
      </c>
      <c r="B453" s="5">
        <v>46170</v>
      </c>
      <c r="C453" s="4">
        <v>4880</v>
      </c>
      <c r="D453" s="4" t="s">
        <v>13</v>
      </c>
      <c r="E453" s="4">
        <v>244</v>
      </c>
      <c r="F453" s="4" t="s">
        <v>17</v>
      </c>
      <c r="G453" s="6">
        <v>2.867</v>
      </c>
      <c r="H453" s="6">
        <v>5.3680000000000003</v>
      </c>
      <c r="I453" s="6">
        <v>1074</v>
      </c>
      <c r="J453" s="4" t="s">
        <v>15</v>
      </c>
      <c r="K453" s="10" t="s">
        <v>467</v>
      </c>
      <c r="L453" s="4" t="s">
        <v>165</v>
      </c>
    </row>
    <row r="454" spans="1:12" x14ac:dyDescent="0.2">
      <c r="A454" s="4" t="s">
        <v>238</v>
      </c>
      <c r="B454" s="5">
        <v>46170</v>
      </c>
      <c r="C454" s="4">
        <v>535</v>
      </c>
      <c r="D454" s="4" t="s">
        <v>13</v>
      </c>
      <c r="E454" s="4">
        <v>535</v>
      </c>
      <c r="F454" s="4" t="s">
        <v>14</v>
      </c>
      <c r="G454" s="6">
        <v>0.27800000000000002</v>
      </c>
      <c r="H454" s="6">
        <v>1.5409999999999999</v>
      </c>
      <c r="I454" s="6">
        <v>915</v>
      </c>
      <c r="J454" s="4" t="s">
        <v>15</v>
      </c>
      <c r="K454" s="10" t="s">
        <v>367</v>
      </c>
      <c r="L454" s="4" t="s">
        <v>16</v>
      </c>
    </row>
    <row r="455" spans="1:12" x14ac:dyDescent="0.2">
      <c r="A455" s="4" t="s">
        <v>238</v>
      </c>
      <c r="B455" s="5">
        <v>46170</v>
      </c>
      <c r="C455" s="4">
        <v>2740</v>
      </c>
      <c r="D455" s="4" t="s">
        <v>13</v>
      </c>
      <c r="E455" s="4">
        <v>91</v>
      </c>
      <c r="F455" s="4" t="s">
        <v>17</v>
      </c>
      <c r="G455" s="6">
        <v>5.0000000000000001E-3</v>
      </c>
      <c r="H455" s="6">
        <v>3.6999999999999998E-2</v>
      </c>
      <c r="I455" s="6">
        <v>247</v>
      </c>
      <c r="J455" s="4" t="s">
        <v>15</v>
      </c>
      <c r="K455" s="10" t="s">
        <v>468</v>
      </c>
      <c r="L455" s="4" t="s">
        <v>166</v>
      </c>
    </row>
    <row r="456" spans="1:12" x14ac:dyDescent="0.2">
      <c r="A456" s="4" t="s">
        <v>238</v>
      </c>
      <c r="B456" s="5">
        <v>46170</v>
      </c>
      <c r="C456" s="4">
        <v>242880</v>
      </c>
      <c r="D456" s="4" t="s">
        <v>13</v>
      </c>
      <c r="E456" s="4">
        <v>8096</v>
      </c>
      <c r="F456" s="4" t="s">
        <v>17</v>
      </c>
      <c r="G456" s="6">
        <v>0.42099999999999999</v>
      </c>
      <c r="H456" s="6">
        <v>3.238</v>
      </c>
      <c r="I456" s="6">
        <v>21859</v>
      </c>
      <c r="J456" s="4" t="s">
        <v>15</v>
      </c>
      <c r="K456" s="10" t="s">
        <v>468</v>
      </c>
      <c r="L456" s="4" t="s">
        <v>166</v>
      </c>
    </row>
    <row r="457" spans="1:12" x14ac:dyDescent="0.2">
      <c r="A457" s="4" t="s">
        <v>238</v>
      </c>
      <c r="B457" s="5">
        <v>46170</v>
      </c>
      <c r="C457" s="4">
        <v>499200</v>
      </c>
      <c r="D457" s="4" t="s">
        <v>13</v>
      </c>
      <c r="E457" s="4">
        <v>16640</v>
      </c>
      <c r="F457" s="4" t="s">
        <v>17</v>
      </c>
      <c r="G457" s="6">
        <v>0.86499999999999999</v>
      </c>
      <c r="H457" s="6">
        <v>6.6559999999999997</v>
      </c>
      <c r="I457" s="6">
        <v>44928</v>
      </c>
      <c r="J457" s="4" t="s">
        <v>15</v>
      </c>
      <c r="K457" s="10" t="s">
        <v>468</v>
      </c>
      <c r="L457" s="4" t="s">
        <v>166</v>
      </c>
    </row>
    <row r="458" spans="1:12" x14ac:dyDescent="0.2">
      <c r="A458" s="4" t="s">
        <v>238</v>
      </c>
      <c r="B458" s="5">
        <v>46170</v>
      </c>
      <c r="C458" s="4">
        <v>141600</v>
      </c>
      <c r="D458" s="4" t="s">
        <v>13</v>
      </c>
      <c r="E458" s="4">
        <v>4720</v>
      </c>
      <c r="F458" s="4" t="s">
        <v>17</v>
      </c>
      <c r="G458" s="6">
        <v>0.245</v>
      </c>
      <c r="H458" s="6">
        <v>1.8879999999999999</v>
      </c>
      <c r="I458" s="6">
        <v>12744</v>
      </c>
      <c r="J458" s="4" t="s">
        <v>15</v>
      </c>
      <c r="K458" s="10" t="s">
        <v>468</v>
      </c>
      <c r="L458" s="4" t="s">
        <v>166</v>
      </c>
    </row>
    <row r="459" spans="1:12" x14ac:dyDescent="0.2">
      <c r="A459" s="4" t="s">
        <v>238</v>
      </c>
      <c r="B459" s="5">
        <v>46170</v>
      </c>
      <c r="C459" s="4">
        <v>1395</v>
      </c>
      <c r="D459" s="4" t="s">
        <v>13</v>
      </c>
      <c r="E459" s="4">
        <v>1395</v>
      </c>
      <c r="F459" s="4" t="s">
        <v>14</v>
      </c>
      <c r="G459" s="6">
        <v>1.2999999999999999E-2</v>
      </c>
      <c r="H459" s="6">
        <v>0.13500000000000001</v>
      </c>
      <c r="I459" s="6">
        <v>117</v>
      </c>
      <c r="J459" s="4" t="s">
        <v>15</v>
      </c>
      <c r="K459" s="10" t="s">
        <v>469</v>
      </c>
      <c r="L459" s="4" t="s">
        <v>167</v>
      </c>
    </row>
    <row r="460" spans="1:12" x14ac:dyDescent="0.2">
      <c r="A460" s="4" t="s">
        <v>238</v>
      </c>
      <c r="B460" s="5">
        <v>46170</v>
      </c>
      <c r="C460" s="4">
        <v>29715</v>
      </c>
      <c r="D460" s="4" t="s">
        <v>13</v>
      </c>
      <c r="E460" s="4">
        <v>29715</v>
      </c>
      <c r="F460" s="4" t="s">
        <v>14</v>
      </c>
      <c r="G460" s="6">
        <v>0.26400000000000001</v>
      </c>
      <c r="H460" s="6">
        <v>2.867</v>
      </c>
      <c r="I460" s="6">
        <v>2496</v>
      </c>
      <c r="J460" s="4" t="s">
        <v>15</v>
      </c>
      <c r="K460" s="10" t="s">
        <v>470</v>
      </c>
      <c r="L460" s="4" t="s">
        <v>168</v>
      </c>
    </row>
    <row r="461" spans="1:12" x14ac:dyDescent="0.2">
      <c r="A461" s="4" t="s">
        <v>238</v>
      </c>
      <c r="B461" s="5">
        <v>46170</v>
      </c>
      <c r="C461" s="4">
        <v>667</v>
      </c>
      <c r="D461" s="4" t="s">
        <v>169</v>
      </c>
      <c r="E461" s="4">
        <v>667</v>
      </c>
      <c r="F461" s="4" t="s">
        <v>14</v>
      </c>
      <c r="G461" s="6">
        <v>0.8</v>
      </c>
      <c r="H461" s="6">
        <v>1.6679999999999999</v>
      </c>
      <c r="I461" s="6">
        <v>2101</v>
      </c>
      <c r="J461" s="4" t="s">
        <v>15</v>
      </c>
      <c r="K461" s="10" t="s">
        <v>170</v>
      </c>
      <c r="L461" s="4" t="s">
        <v>171</v>
      </c>
    </row>
    <row r="462" spans="1:12" x14ac:dyDescent="0.2">
      <c r="A462" s="4" t="s">
        <v>238</v>
      </c>
      <c r="B462" s="5">
        <v>46170</v>
      </c>
      <c r="C462" s="4">
        <v>221</v>
      </c>
      <c r="D462" s="4" t="s">
        <v>169</v>
      </c>
      <c r="E462" s="4">
        <v>44</v>
      </c>
      <c r="F462" s="4" t="s">
        <v>172</v>
      </c>
      <c r="G462" s="6">
        <v>5.2999999999999999E-2</v>
      </c>
      <c r="H462" s="6">
        <v>0.111</v>
      </c>
      <c r="I462" s="6">
        <v>672</v>
      </c>
      <c r="J462" s="4" t="s">
        <v>15</v>
      </c>
      <c r="K462" s="10" t="s">
        <v>173</v>
      </c>
      <c r="L462" s="4" t="s">
        <v>174</v>
      </c>
    </row>
    <row r="463" spans="1:12" x14ac:dyDescent="0.2">
      <c r="A463" s="4" t="s">
        <v>238</v>
      </c>
      <c r="B463" s="5">
        <v>46170</v>
      </c>
      <c r="C463" s="4">
        <v>300</v>
      </c>
      <c r="D463" s="4" t="s">
        <v>13</v>
      </c>
      <c r="E463" s="4">
        <v>3</v>
      </c>
      <c r="F463" s="4" t="s">
        <v>17</v>
      </c>
      <c r="G463" s="6">
        <v>0</v>
      </c>
      <c r="H463" s="6">
        <v>0.03</v>
      </c>
      <c r="I463" s="6">
        <v>3</v>
      </c>
      <c r="J463" s="4" t="s">
        <v>15</v>
      </c>
      <c r="K463" s="10" t="s">
        <v>471</v>
      </c>
      <c r="L463" s="4" t="s">
        <v>175</v>
      </c>
    </row>
    <row r="464" spans="1:12" x14ac:dyDescent="0.2">
      <c r="A464" s="4" t="s">
        <v>238</v>
      </c>
      <c r="B464" s="5">
        <v>46170</v>
      </c>
      <c r="C464" s="4">
        <v>24025</v>
      </c>
      <c r="D464" s="4" t="s">
        <v>13</v>
      </c>
      <c r="E464" s="4">
        <v>24025</v>
      </c>
      <c r="F464" s="4" t="s">
        <v>14</v>
      </c>
      <c r="G464" s="6">
        <v>0.84099999999999997</v>
      </c>
      <c r="H464" s="6">
        <v>7.1109999999999998</v>
      </c>
      <c r="I464" s="6">
        <v>3364</v>
      </c>
      <c r="J464" s="4" t="s">
        <v>15</v>
      </c>
      <c r="K464" s="10" t="s">
        <v>472</v>
      </c>
      <c r="L464" s="4" t="s">
        <v>176</v>
      </c>
    </row>
    <row r="465" spans="1:12" x14ac:dyDescent="0.2">
      <c r="A465" s="4" t="s">
        <v>238</v>
      </c>
      <c r="B465" s="5">
        <v>46170</v>
      </c>
      <c r="C465" s="4">
        <v>47330</v>
      </c>
      <c r="D465" s="4" t="s">
        <v>13</v>
      </c>
      <c r="E465" s="4">
        <v>47330</v>
      </c>
      <c r="F465" s="4" t="s">
        <v>14</v>
      </c>
      <c r="G465" s="6">
        <v>0.44</v>
      </c>
      <c r="H465" s="6">
        <v>4.5670000000000002</v>
      </c>
      <c r="I465" s="6">
        <v>3976</v>
      </c>
      <c r="J465" s="4" t="s">
        <v>15</v>
      </c>
      <c r="K465" s="10" t="s">
        <v>473</v>
      </c>
      <c r="L465" s="4" t="s">
        <v>177</v>
      </c>
    </row>
    <row r="466" spans="1:12" x14ac:dyDescent="0.2">
      <c r="A466" s="4" t="s">
        <v>238</v>
      </c>
      <c r="B466" s="5">
        <v>46170</v>
      </c>
      <c r="C466" s="4">
        <v>33280</v>
      </c>
      <c r="D466" s="4" t="s">
        <v>13</v>
      </c>
      <c r="E466" s="4">
        <v>33280</v>
      </c>
      <c r="F466" s="4" t="s">
        <v>14</v>
      </c>
      <c r="G466" s="6">
        <v>0.309</v>
      </c>
      <c r="H466" s="6">
        <v>3.2120000000000002</v>
      </c>
      <c r="I466" s="6">
        <v>2796</v>
      </c>
      <c r="J466" s="4" t="s">
        <v>15</v>
      </c>
      <c r="K466" s="10" t="s">
        <v>469</v>
      </c>
      <c r="L466" s="4" t="s">
        <v>178</v>
      </c>
    </row>
    <row r="467" spans="1:12" x14ac:dyDescent="0.2">
      <c r="A467" s="4" t="s">
        <v>238</v>
      </c>
      <c r="B467" s="5">
        <v>46170</v>
      </c>
      <c r="C467" s="4">
        <v>2000</v>
      </c>
      <c r="D467" s="4" t="s">
        <v>13</v>
      </c>
      <c r="E467" s="4">
        <v>2000</v>
      </c>
      <c r="F467" s="4" t="s">
        <v>14</v>
      </c>
      <c r="G467" s="6">
        <v>1.7999999999999999E-2</v>
      </c>
      <c r="H467" s="6">
        <v>0.193</v>
      </c>
      <c r="I467" s="6">
        <v>168</v>
      </c>
      <c r="J467" s="4" t="s">
        <v>15</v>
      </c>
      <c r="K467" s="10" t="s">
        <v>470</v>
      </c>
      <c r="L467" s="4" t="s">
        <v>179</v>
      </c>
    </row>
    <row r="468" spans="1:12" x14ac:dyDescent="0.2">
      <c r="A468" s="4" t="s">
        <v>238</v>
      </c>
      <c r="B468" s="5">
        <v>46170</v>
      </c>
      <c r="C468" s="4">
        <v>66022</v>
      </c>
      <c r="D468" s="4" t="s">
        <v>13</v>
      </c>
      <c r="E468" s="4">
        <v>660</v>
      </c>
      <c r="F468" s="4" t="s">
        <v>17</v>
      </c>
      <c r="G468" s="6">
        <v>0.64900000000000002</v>
      </c>
      <c r="H468" s="6">
        <v>5.2889999999999997</v>
      </c>
      <c r="I468" s="6">
        <v>2258</v>
      </c>
      <c r="J468" s="4" t="s">
        <v>15</v>
      </c>
      <c r="K468" s="10" t="s">
        <v>474</v>
      </c>
      <c r="L468" s="4" t="s">
        <v>180</v>
      </c>
    </row>
    <row r="469" spans="1:12" x14ac:dyDescent="0.2">
      <c r="A469" s="4" t="s">
        <v>238</v>
      </c>
      <c r="B469" s="5">
        <v>46170</v>
      </c>
      <c r="C469" s="4">
        <v>15750</v>
      </c>
      <c r="D469" s="4" t="s">
        <v>13</v>
      </c>
      <c r="E469" s="4">
        <v>315</v>
      </c>
      <c r="F469" s="4" t="s">
        <v>17</v>
      </c>
      <c r="G469" s="6">
        <v>8.1000000000000003E-2</v>
      </c>
      <c r="H469" s="6">
        <v>4.4999999999999998E-2</v>
      </c>
      <c r="I469" s="6">
        <v>302</v>
      </c>
      <c r="J469" s="4" t="s">
        <v>15</v>
      </c>
      <c r="K469" s="10" t="s">
        <v>475</v>
      </c>
      <c r="L469" s="4" t="s">
        <v>181</v>
      </c>
    </row>
    <row r="470" spans="1:12" x14ac:dyDescent="0.2">
      <c r="A470" s="4" t="s">
        <v>238</v>
      </c>
      <c r="B470" s="5">
        <v>46170</v>
      </c>
      <c r="C470" s="4">
        <v>70</v>
      </c>
      <c r="D470" s="4" t="s">
        <v>13</v>
      </c>
      <c r="E470" s="4">
        <v>70</v>
      </c>
      <c r="F470" s="4" t="s">
        <v>14</v>
      </c>
      <c r="G470" s="6">
        <v>1.2999999999999999E-2</v>
      </c>
      <c r="H470" s="6">
        <v>7.2999999999999995E-2</v>
      </c>
      <c r="I470" s="6">
        <v>429</v>
      </c>
      <c r="J470" s="4" t="s">
        <v>15</v>
      </c>
      <c r="K470" s="10" t="s">
        <v>476</v>
      </c>
      <c r="L470" s="4" t="s">
        <v>182</v>
      </c>
    </row>
    <row r="471" spans="1:12" x14ac:dyDescent="0.2">
      <c r="A471" s="4" t="s">
        <v>238</v>
      </c>
      <c r="B471" s="5">
        <v>46170</v>
      </c>
      <c r="C471" s="4">
        <v>30</v>
      </c>
      <c r="D471" s="4" t="s">
        <v>13</v>
      </c>
      <c r="E471" s="4">
        <v>1</v>
      </c>
      <c r="F471" s="4" t="s">
        <v>72</v>
      </c>
      <c r="G471" s="6">
        <v>1E-3</v>
      </c>
      <c r="H471" s="6">
        <v>8.9999999999999993E-3</v>
      </c>
      <c r="I471" s="6">
        <v>26</v>
      </c>
      <c r="J471" s="4" t="s">
        <v>15</v>
      </c>
      <c r="K471" s="10" t="s">
        <v>477</v>
      </c>
      <c r="L471" s="4" t="s">
        <v>183</v>
      </c>
    </row>
    <row r="472" spans="1:12" x14ac:dyDescent="0.2">
      <c r="A472" s="4" t="s">
        <v>238</v>
      </c>
      <c r="B472" s="5">
        <v>46170</v>
      </c>
      <c r="C472" s="4">
        <v>189125</v>
      </c>
      <c r="D472" s="4" t="s">
        <v>13</v>
      </c>
      <c r="E472" s="4">
        <v>7565</v>
      </c>
      <c r="F472" s="4" t="s">
        <v>17</v>
      </c>
      <c r="G472" s="6">
        <v>2.4209999999999998</v>
      </c>
      <c r="H472" s="6">
        <v>15.13</v>
      </c>
      <c r="I472" s="6">
        <v>41608</v>
      </c>
      <c r="J472" s="4" t="s">
        <v>15</v>
      </c>
      <c r="K472" s="10" t="s">
        <v>478</v>
      </c>
      <c r="L472" s="4" t="s">
        <v>184</v>
      </c>
    </row>
    <row r="473" spans="1:12" x14ac:dyDescent="0.2">
      <c r="A473" s="4" t="s">
        <v>238</v>
      </c>
      <c r="B473" s="5">
        <v>46170</v>
      </c>
      <c r="C473" s="4">
        <v>486500</v>
      </c>
      <c r="D473" s="4" t="s">
        <v>13</v>
      </c>
      <c r="E473" s="4">
        <v>4865</v>
      </c>
      <c r="F473" s="4" t="s">
        <v>72</v>
      </c>
      <c r="G473" s="6">
        <v>0.42699999999999999</v>
      </c>
      <c r="H473" s="6">
        <v>1.5049999999999999</v>
      </c>
      <c r="I473" s="6">
        <v>39407</v>
      </c>
      <c r="J473" s="4" t="s">
        <v>15</v>
      </c>
      <c r="K473" s="10" t="s">
        <v>479</v>
      </c>
      <c r="L473" s="4" t="s">
        <v>166</v>
      </c>
    </row>
    <row r="474" spans="1:12" x14ac:dyDescent="0.2">
      <c r="A474" s="4" t="s">
        <v>238</v>
      </c>
      <c r="B474" s="5">
        <v>46170</v>
      </c>
      <c r="C474" s="4">
        <v>109200</v>
      </c>
      <c r="D474" s="4" t="s">
        <v>13</v>
      </c>
      <c r="E474" s="4">
        <v>1092</v>
      </c>
      <c r="F474" s="4" t="s">
        <v>17</v>
      </c>
      <c r="G474" s="6">
        <v>9.6000000000000002E-2</v>
      </c>
      <c r="H474" s="6">
        <v>0.33800000000000002</v>
      </c>
      <c r="I474" s="6">
        <v>8845</v>
      </c>
      <c r="J474" s="4" t="s">
        <v>15</v>
      </c>
      <c r="K474" s="10" t="s">
        <v>479</v>
      </c>
      <c r="L474" s="4" t="s">
        <v>166</v>
      </c>
    </row>
    <row r="475" spans="1:12" x14ac:dyDescent="0.2">
      <c r="A475" s="4" t="s">
        <v>238</v>
      </c>
      <c r="B475" s="5">
        <v>46170</v>
      </c>
      <c r="C475" s="4">
        <v>107580</v>
      </c>
      <c r="D475" s="4" t="s">
        <v>13</v>
      </c>
      <c r="E475" s="4">
        <v>3586</v>
      </c>
      <c r="F475" s="4" t="s">
        <v>17</v>
      </c>
      <c r="G475" s="6">
        <v>0.92200000000000004</v>
      </c>
      <c r="H475" s="6">
        <v>4.8289999999999997</v>
      </c>
      <c r="I475" s="6">
        <v>30122</v>
      </c>
      <c r="J475" s="4" t="s">
        <v>15</v>
      </c>
      <c r="K475" s="10" t="s">
        <v>480</v>
      </c>
      <c r="L475" s="4" t="s">
        <v>185</v>
      </c>
    </row>
    <row r="476" spans="1:12" x14ac:dyDescent="0.2">
      <c r="A476" s="4" t="s">
        <v>238</v>
      </c>
      <c r="B476" s="5">
        <v>46170</v>
      </c>
      <c r="C476" s="4">
        <v>31500</v>
      </c>
      <c r="D476" s="4" t="s">
        <v>13</v>
      </c>
      <c r="E476" s="4">
        <v>1050</v>
      </c>
      <c r="F476" s="4" t="s">
        <v>17</v>
      </c>
      <c r="G476" s="6">
        <v>0.14499999999999999</v>
      </c>
      <c r="H476" s="6">
        <v>0.92400000000000004</v>
      </c>
      <c r="I476" s="6">
        <v>9450</v>
      </c>
      <c r="J476" s="4" t="s">
        <v>15</v>
      </c>
      <c r="K476" s="10" t="s">
        <v>481</v>
      </c>
      <c r="L476" s="4" t="s">
        <v>186</v>
      </c>
    </row>
    <row r="477" spans="1:12" x14ac:dyDescent="0.2">
      <c r="A477" s="4" t="s">
        <v>238</v>
      </c>
      <c r="B477" s="5">
        <v>46170</v>
      </c>
      <c r="C477" s="4">
        <v>57500</v>
      </c>
      <c r="D477" s="4" t="s">
        <v>13</v>
      </c>
      <c r="E477" s="4">
        <v>2300</v>
      </c>
      <c r="F477" s="4" t="s">
        <v>17</v>
      </c>
      <c r="G477" s="6">
        <v>0.69</v>
      </c>
      <c r="H477" s="6">
        <v>2.09</v>
      </c>
      <c r="I477" s="6">
        <v>9775</v>
      </c>
      <c r="J477" s="4" t="s">
        <v>15</v>
      </c>
      <c r="K477" s="10" t="s">
        <v>478</v>
      </c>
      <c r="L477" s="4" t="s">
        <v>187</v>
      </c>
    </row>
    <row r="478" spans="1:12" x14ac:dyDescent="0.2">
      <c r="A478" s="4" t="s">
        <v>238</v>
      </c>
      <c r="B478" s="5">
        <v>46170</v>
      </c>
      <c r="C478" s="4">
        <v>201</v>
      </c>
      <c r="D478" s="4" t="s">
        <v>13</v>
      </c>
      <c r="E478" s="4">
        <v>201</v>
      </c>
      <c r="F478" s="4" t="s">
        <v>14</v>
      </c>
      <c r="G478" s="6">
        <v>2E-3</v>
      </c>
      <c r="H478" s="6">
        <v>1.9E-2</v>
      </c>
      <c r="I478" s="6">
        <v>17</v>
      </c>
      <c r="J478" s="4" t="s">
        <v>15</v>
      </c>
      <c r="K478" s="10" t="s">
        <v>470</v>
      </c>
      <c r="L478" s="4" t="s">
        <v>188</v>
      </c>
    </row>
    <row r="479" spans="1:12" x14ac:dyDescent="0.2">
      <c r="A479" s="4" t="s">
        <v>238</v>
      </c>
      <c r="B479" s="5">
        <v>46170</v>
      </c>
      <c r="C479" s="4">
        <v>1670</v>
      </c>
      <c r="D479" s="4" t="s">
        <v>13</v>
      </c>
      <c r="E479" s="4">
        <v>1670</v>
      </c>
      <c r="F479" s="4" t="s">
        <v>14</v>
      </c>
      <c r="G479" s="6">
        <v>3.0000000000000001E-3</v>
      </c>
      <c r="H479" s="6">
        <v>2.1000000000000001E-2</v>
      </c>
      <c r="I479" s="6">
        <v>144</v>
      </c>
      <c r="J479" s="4" t="s">
        <v>15</v>
      </c>
      <c r="K479" s="10" t="s">
        <v>468</v>
      </c>
      <c r="L479" s="4" t="s">
        <v>189</v>
      </c>
    </row>
    <row r="480" spans="1:12" x14ac:dyDescent="0.2">
      <c r="A480" s="4" t="s">
        <v>238</v>
      </c>
      <c r="B480" s="5">
        <v>46170</v>
      </c>
      <c r="C480" s="4">
        <v>210</v>
      </c>
      <c r="D480" s="4" t="s">
        <v>13</v>
      </c>
      <c r="E480" s="4">
        <v>7</v>
      </c>
      <c r="F480" s="4" t="s">
        <v>17</v>
      </c>
      <c r="G480" s="6">
        <v>0</v>
      </c>
      <c r="H480" s="6">
        <v>3.0000000000000001E-3</v>
      </c>
      <c r="I480" s="6">
        <v>19</v>
      </c>
      <c r="J480" s="4" t="s">
        <v>15</v>
      </c>
      <c r="K480" s="10" t="s">
        <v>468</v>
      </c>
      <c r="L480" s="4" t="s">
        <v>190</v>
      </c>
    </row>
    <row r="481" spans="1:12" x14ac:dyDescent="0.2">
      <c r="A481" s="4" t="s">
        <v>238</v>
      </c>
      <c r="B481" s="5">
        <v>46170</v>
      </c>
      <c r="C481" s="4">
        <v>4980</v>
      </c>
      <c r="D481" s="4" t="s">
        <v>13</v>
      </c>
      <c r="E481" s="4">
        <v>166</v>
      </c>
      <c r="F481" s="4" t="s">
        <v>17</v>
      </c>
      <c r="G481" s="6">
        <v>3.1E-2</v>
      </c>
      <c r="H481" s="6">
        <v>0.14599999999999999</v>
      </c>
      <c r="I481" s="6">
        <v>2241</v>
      </c>
      <c r="J481" s="4" t="s">
        <v>15</v>
      </c>
      <c r="K481" s="10" t="s">
        <v>482</v>
      </c>
      <c r="L481" s="4" t="s">
        <v>191</v>
      </c>
    </row>
    <row r="482" spans="1:12" x14ac:dyDescent="0.2">
      <c r="A482" s="4" t="s">
        <v>238</v>
      </c>
      <c r="B482" s="5">
        <v>46170</v>
      </c>
      <c r="C482" s="4">
        <v>94500</v>
      </c>
      <c r="D482" s="4" t="s">
        <v>13</v>
      </c>
      <c r="E482" s="4">
        <v>3150</v>
      </c>
      <c r="F482" s="4" t="s">
        <v>17</v>
      </c>
      <c r="G482" s="6">
        <v>0.58799999999999997</v>
      </c>
      <c r="H482" s="6">
        <v>2.7719999999999998</v>
      </c>
      <c r="I482" s="6">
        <v>42525</v>
      </c>
      <c r="J482" s="4" t="s">
        <v>15</v>
      </c>
      <c r="K482" s="10" t="s">
        <v>482</v>
      </c>
      <c r="L482" s="4" t="s">
        <v>192</v>
      </c>
    </row>
    <row r="483" spans="1:12" x14ac:dyDescent="0.2">
      <c r="A483" s="4" t="s">
        <v>238</v>
      </c>
      <c r="B483" s="5">
        <v>46170</v>
      </c>
      <c r="C483" s="4">
        <v>300</v>
      </c>
      <c r="D483" s="4" t="s">
        <v>13</v>
      </c>
      <c r="E483" s="4">
        <v>10</v>
      </c>
      <c r="F483" s="4" t="s">
        <v>17</v>
      </c>
      <c r="G483" s="6">
        <v>3.0000000000000001E-3</v>
      </c>
      <c r="H483" s="6">
        <v>1.4999999999999999E-2</v>
      </c>
      <c r="I483" s="6">
        <v>159</v>
      </c>
      <c r="J483" s="4" t="s">
        <v>15</v>
      </c>
      <c r="K483" s="10" t="s">
        <v>483</v>
      </c>
      <c r="L483" s="4" t="s">
        <v>193</v>
      </c>
    </row>
    <row r="484" spans="1:12" x14ac:dyDescent="0.2">
      <c r="A484" s="4" t="s">
        <v>238</v>
      </c>
      <c r="B484" s="5">
        <v>46170</v>
      </c>
      <c r="C484" s="4">
        <v>15270</v>
      </c>
      <c r="D484" s="4" t="s">
        <v>13</v>
      </c>
      <c r="E484" s="4">
        <v>509</v>
      </c>
      <c r="F484" s="4" t="s">
        <v>17</v>
      </c>
      <c r="G484" s="6">
        <v>0.13600000000000001</v>
      </c>
      <c r="H484" s="6">
        <v>0.75</v>
      </c>
      <c r="I484" s="6">
        <v>8088</v>
      </c>
      <c r="J484" s="4" t="s">
        <v>15</v>
      </c>
      <c r="K484" s="10" t="s">
        <v>483</v>
      </c>
      <c r="L484" s="4" t="s">
        <v>194</v>
      </c>
    </row>
    <row r="485" spans="1:12" x14ac:dyDescent="0.2">
      <c r="A485" s="4" t="s">
        <v>238</v>
      </c>
      <c r="B485" s="5">
        <v>46170</v>
      </c>
      <c r="C485" s="4">
        <v>54450</v>
      </c>
      <c r="D485" s="4" t="s">
        <v>13</v>
      </c>
      <c r="E485" s="4">
        <v>1815</v>
      </c>
      <c r="F485" s="4" t="s">
        <v>17</v>
      </c>
      <c r="G485" s="6">
        <v>0.48499999999999999</v>
      </c>
      <c r="H485" s="6">
        <v>2.6760000000000002</v>
      </c>
      <c r="I485" s="6">
        <v>28840</v>
      </c>
      <c r="J485" s="4" t="s">
        <v>15</v>
      </c>
      <c r="K485" s="10" t="s">
        <v>483</v>
      </c>
      <c r="L485" s="4" t="s">
        <v>195</v>
      </c>
    </row>
    <row r="486" spans="1:12" x14ac:dyDescent="0.2">
      <c r="A486" s="4" t="s">
        <v>238</v>
      </c>
      <c r="B486" s="5">
        <v>46170</v>
      </c>
      <c r="C486" s="4">
        <v>240</v>
      </c>
      <c r="D486" s="4" t="s">
        <v>13</v>
      </c>
      <c r="E486" s="4">
        <v>8</v>
      </c>
      <c r="F486" s="4" t="s">
        <v>17</v>
      </c>
      <c r="G486" s="6">
        <v>2E-3</v>
      </c>
      <c r="H486" s="6">
        <v>1.2E-2</v>
      </c>
      <c r="I486" s="6">
        <v>163</v>
      </c>
      <c r="J486" s="4" t="s">
        <v>15</v>
      </c>
      <c r="K486" s="10" t="s">
        <v>484</v>
      </c>
      <c r="L486" s="4" t="s">
        <v>196</v>
      </c>
    </row>
    <row r="487" spans="1:12" x14ac:dyDescent="0.2">
      <c r="A487" s="4" t="s">
        <v>238</v>
      </c>
      <c r="B487" s="5">
        <v>46170</v>
      </c>
      <c r="C487" s="4">
        <v>180</v>
      </c>
      <c r="D487" s="4" t="s">
        <v>13</v>
      </c>
      <c r="E487" s="4">
        <v>6</v>
      </c>
      <c r="F487" s="4" t="s">
        <v>17</v>
      </c>
      <c r="G487" s="6">
        <v>2E-3</v>
      </c>
      <c r="H487" s="6">
        <v>8.9999999999999993E-3</v>
      </c>
      <c r="I487" s="6">
        <v>122</v>
      </c>
      <c r="J487" s="4" t="s">
        <v>15</v>
      </c>
      <c r="K487" s="10" t="s">
        <v>484</v>
      </c>
      <c r="L487" s="4" t="s">
        <v>197</v>
      </c>
    </row>
    <row r="488" spans="1:12" x14ac:dyDescent="0.2">
      <c r="A488" s="4" t="s">
        <v>238</v>
      </c>
      <c r="B488" s="5">
        <v>46170</v>
      </c>
      <c r="C488" s="4">
        <v>900</v>
      </c>
      <c r="D488" s="4" t="s">
        <v>13</v>
      </c>
      <c r="E488" s="4">
        <v>30</v>
      </c>
      <c r="F488" s="4" t="s">
        <v>17</v>
      </c>
      <c r="G488" s="6">
        <v>8.9999999999999993E-3</v>
      </c>
      <c r="H488" s="6">
        <v>4.2999999999999997E-2</v>
      </c>
      <c r="I488" s="6">
        <v>611</v>
      </c>
      <c r="J488" s="4" t="s">
        <v>15</v>
      </c>
      <c r="K488" s="10" t="s">
        <v>484</v>
      </c>
      <c r="L488" s="4" t="s">
        <v>198</v>
      </c>
    </row>
    <row r="489" spans="1:12" x14ac:dyDescent="0.2">
      <c r="A489" s="4" t="s">
        <v>238</v>
      </c>
      <c r="B489" s="5">
        <v>46170</v>
      </c>
      <c r="C489" s="4">
        <v>28350</v>
      </c>
      <c r="D489" s="4" t="s">
        <v>13</v>
      </c>
      <c r="E489" s="4">
        <v>945</v>
      </c>
      <c r="F489" s="4" t="s">
        <v>17</v>
      </c>
      <c r="G489" s="6">
        <v>0.29299999999999998</v>
      </c>
      <c r="H489" s="6">
        <v>1.37</v>
      </c>
      <c r="I489" s="6">
        <v>19250</v>
      </c>
      <c r="J489" s="4" t="s">
        <v>15</v>
      </c>
      <c r="K489" s="10" t="s">
        <v>484</v>
      </c>
      <c r="L489" s="4" t="s">
        <v>199</v>
      </c>
    </row>
    <row r="490" spans="1:12" x14ac:dyDescent="0.2">
      <c r="A490" s="4" t="s">
        <v>238</v>
      </c>
      <c r="B490" s="5">
        <v>46170</v>
      </c>
      <c r="C490" s="4">
        <v>40680</v>
      </c>
      <c r="D490" s="4" t="s">
        <v>13</v>
      </c>
      <c r="E490" s="4">
        <v>1352</v>
      </c>
      <c r="F490" s="4" t="s">
        <v>17</v>
      </c>
      <c r="G490" s="6">
        <v>0.42</v>
      </c>
      <c r="H490" s="6">
        <v>1.96</v>
      </c>
      <c r="I490" s="6">
        <v>27622</v>
      </c>
      <c r="J490" s="4" t="s">
        <v>15</v>
      </c>
      <c r="K490" s="10" t="s">
        <v>484</v>
      </c>
      <c r="L490" s="4" t="s">
        <v>200</v>
      </c>
    </row>
    <row r="491" spans="1:12" x14ac:dyDescent="0.2">
      <c r="A491" s="4" t="s">
        <v>238</v>
      </c>
      <c r="B491" s="5">
        <v>46170</v>
      </c>
      <c r="C491" s="4">
        <v>40620</v>
      </c>
      <c r="D491" s="4" t="s">
        <v>13</v>
      </c>
      <c r="E491" s="4">
        <v>1354</v>
      </c>
      <c r="F491" s="4" t="s">
        <v>17</v>
      </c>
      <c r="G491" s="6">
        <v>0.42</v>
      </c>
      <c r="H491" s="6">
        <v>1.96</v>
      </c>
      <c r="I491" s="6">
        <v>27581</v>
      </c>
      <c r="J491" s="4" t="s">
        <v>15</v>
      </c>
      <c r="K491" s="10" t="s">
        <v>484</v>
      </c>
      <c r="L491" s="4" t="s">
        <v>201</v>
      </c>
    </row>
    <row r="492" spans="1:12" x14ac:dyDescent="0.2">
      <c r="A492" s="4" t="s">
        <v>238</v>
      </c>
      <c r="B492" s="5">
        <v>46170</v>
      </c>
      <c r="C492" s="4">
        <v>40710</v>
      </c>
      <c r="D492" s="4" t="s">
        <v>13</v>
      </c>
      <c r="E492" s="4">
        <v>1357</v>
      </c>
      <c r="F492" s="4" t="s">
        <v>17</v>
      </c>
      <c r="G492" s="6">
        <v>0.42</v>
      </c>
      <c r="H492" s="6">
        <v>1.96</v>
      </c>
      <c r="I492" s="6">
        <v>27642</v>
      </c>
      <c r="J492" s="4" t="s">
        <v>15</v>
      </c>
      <c r="K492" s="10" t="s">
        <v>484</v>
      </c>
      <c r="L492" s="4" t="s">
        <v>202</v>
      </c>
    </row>
    <row r="493" spans="1:12" x14ac:dyDescent="0.2">
      <c r="A493" s="4" t="s">
        <v>238</v>
      </c>
      <c r="B493" s="5">
        <v>46170</v>
      </c>
      <c r="C493" s="4">
        <v>41010</v>
      </c>
      <c r="D493" s="4" t="s">
        <v>13</v>
      </c>
      <c r="E493" s="4">
        <v>1367</v>
      </c>
      <c r="F493" s="4" t="s">
        <v>72</v>
      </c>
      <c r="G493" s="6">
        <v>0.42399999999999999</v>
      </c>
      <c r="H493" s="6">
        <v>2.0099999999999998</v>
      </c>
      <c r="I493" s="6">
        <v>27846</v>
      </c>
      <c r="J493" s="4" t="s">
        <v>15</v>
      </c>
      <c r="K493" s="10" t="s">
        <v>484</v>
      </c>
      <c r="L493" s="4" t="s">
        <v>203</v>
      </c>
    </row>
    <row r="494" spans="1:12" x14ac:dyDescent="0.2">
      <c r="A494" s="4" t="s">
        <v>238</v>
      </c>
      <c r="B494" s="5">
        <v>46170</v>
      </c>
      <c r="C494" s="4">
        <v>40890</v>
      </c>
      <c r="D494" s="4" t="s">
        <v>13</v>
      </c>
      <c r="E494" s="4">
        <v>1363</v>
      </c>
      <c r="F494" s="4" t="s">
        <v>17</v>
      </c>
      <c r="G494" s="6">
        <v>0.42299999999999999</v>
      </c>
      <c r="H494" s="6">
        <v>2.0099999999999998</v>
      </c>
      <c r="I494" s="6">
        <v>27764</v>
      </c>
      <c r="J494" s="4" t="s">
        <v>15</v>
      </c>
      <c r="K494" s="10" t="s">
        <v>484</v>
      </c>
      <c r="L494" s="4" t="s">
        <v>204</v>
      </c>
    </row>
    <row r="495" spans="1:12" x14ac:dyDescent="0.2">
      <c r="A495" s="4" t="s">
        <v>238</v>
      </c>
      <c r="B495" s="5">
        <v>46170</v>
      </c>
      <c r="C495" s="4">
        <v>40860</v>
      </c>
      <c r="D495" s="4" t="s">
        <v>13</v>
      </c>
      <c r="E495" s="4">
        <v>1362</v>
      </c>
      <c r="F495" s="4" t="s">
        <v>17</v>
      </c>
      <c r="G495" s="6">
        <v>0.42199999999999999</v>
      </c>
      <c r="H495" s="6">
        <v>2.0099999999999998</v>
      </c>
      <c r="I495" s="6">
        <v>27744</v>
      </c>
      <c r="J495" s="4" t="s">
        <v>15</v>
      </c>
      <c r="K495" s="10" t="s">
        <v>484</v>
      </c>
      <c r="L495" s="4" t="s">
        <v>205</v>
      </c>
    </row>
    <row r="496" spans="1:12" x14ac:dyDescent="0.2">
      <c r="A496" s="4" t="s">
        <v>238</v>
      </c>
      <c r="B496" s="5">
        <v>46170</v>
      </c>
      <c r="C496" s="4">
        <v>40380</v>
      </c>
      <c r="D496" s="4" t="s">
        <v>13</v>
      </c>
      <c r="E496" s="4">
        <v>1346</v>
      </c>
      <c r="F496" s="4" t="s">
        <v>17</v>
      </c>
      <c r="G496" s="6">
        <v>0.41699999999999998</v>
      </c>
      <c r="H496" s="6">
        <v>1.96</v>
      </c>
      <c r="I496" s="6">
        <v>27418</v>
      </c>
      <c r="J496" s="4" t="s">
        <v>15</v>
      </c>
      <c r="K496" s="10" t="s">
        <v>484</v>
      </c>
      <c r="L496" s="4" t="s">
        <v>206</v>
      </c>
    </row>
    <row r="497" spans="1:12" x14ac:dyDescent="0.2">
      <c r="A497" s="4" t="s">
        <v>238</v>
      </c>
      <c r="B497" s="5">
        <v>46170</v>
      </c>
      <c r="C497" s="4">
        <v>40800</v>
      </c>
      <c r="D497" s="4" t="s">
        <v>13</v>
      </c>
      <c r="E497" s="4">
        <v>1360</v>
      </c>
      <c r="F497" s="4" t="s">
        <v>17</v>
      </c>
      <c r="G497" s="6">
        <v>0.42199999999999999</v>
      </c>
      <c r="H497" s="6">
        <v>1.96</v>
      </c>
      <c r="I497" s="6">
        <v>27703</v>
      </c>
      <c r="J497" s="4" t="s">
        <v>15</v>
      </c>
      <c r="K497" s="10" t="s">
        <v>484</v>
      </c>
      <c r="L497" s="4" t="s">
        <v>207</v>
      </c>
    </row>
    <row r="498" spans="1:12" x14ac:dyDescent="0.2">
      <c r="A498" s="4" t="s">
        <v>238</v>
      </c>
      <c r="B498" s="5">
        <v>46170</v>
      </c>
      <c r="C498" s="4">
        <v>40860</v>
      </c>
      <c r="D498" s="4" t="s">
        <v>13</v>
      </c>
      <c r="E498" s="4">
        <v>1362</v>
      </c>
      <c r="F498" s="4" t="s">
        <v>17</v>
      </c>
      <c r="G498" s="6">
        <v>0.42199999999999999</v>
      </c>
      <c r="H498" s="6">
        <v>2.0099999999999998</v>
      </c>
      <c r="I498" s="6">
        <v>27744</v>
      </c>
      <c r="J498" s="4" t="s">
        <v>15</v>
      </c>
      <c r="K498" s="10" t="s">
        <v>484</v>
      </c>
      <c r="L498" s="4" t="s">
        <v>208</v>
      </c>
    </row>
    <row r="499" spans="1:12" x14ac:dyDescent="0.2">
      <c r="A499" s="4" t="s">
        <v>238</v>
      </c>
      <c r="B499" s="5">
        <v>46170</v>
      </c>
      <c r="C499" s="4">
        <v>14541</v>
      </c>
      <c r="D499" s="4" t="s">
        <v>13</v>
      </c>
      <c r="E499" s="4">
        <v>14541</v>
      </c>
      <c r="F499" s="4" t="s">
        <v>17</v>
      </c>
      <c r="G499" s="6">
        <v>0.72699999999999998</v>
      </c>
      <c r="H499" s="6">
        <v>3.6469999999999998</v>
      </c>
      <c r="I499" s="6">
        <v>21084</v>
      </c>
      <c r="J499" s="4" t="s">
        <v>15</v>
      </c>
      <c r="K499" s="10" t="s">
        <v>485</v>
      </c>
      <c r="L499" s="4" t="s">
        <v>209</v>
      </c>
    </row>
    <row r="500" spans="1:12" x14ac:dyDescent="0.2">
      <c r="A500" s="4" t="s">
        <v>238</v>
      </c>
      <c r="B500" s="5">
        <v>46170</v>
      </c>
      <c r="C500" s="4">
        <v>12800</v>
      </c>
      <c r="D500" s="4" t="s">
        <v>13</v>
      </c>
      <c r="E500" s="4">
        <v>12800</v>
      </c>
      <c r="F500" s="4" t="s">
        <v>17</v>
      </c>
      <c r="G500" s="6">
        <v>0.64</v>
      </c>
      <c r="H500" s="6">
        <v>3.21</v>
      </c>
      <c r="I500" s="6">
        <v>18560</v>
      </c>
      <c r="J500" s="4" t="s">
        <v>15</v>
      </c>
      <c r="K500" s="10" t="s">
        <v>485</v>
      </c>
      <c r="L500" s="4" t="s">
        <v>210</v>
      </c>
    </row>
    <row r="501" spans="1:12" x14ac:dyDescent="0.2">
      <c r="A501" s="4" t="s">
        <v>238</v>
      </c>
      <c r="B501" s="5">
        <v>46170</v>
      </c>
      <c r="C501" s="4">
        <v>52800</v>
      </c>
      <c r="D501" s="4" t="s">
        <v>13</v>
      </c>
      <c r="E501" s="4">
        <v>52800</v>
      </c>
      <c r="F501" s="4" t="s">
        <v>17</v>
      </c>
      <c r="G501" s="6">
        <v>2.64</v>
      </c>
      <c r="H501" s="6">
        <v>13.242000000000001</v>
      </c>
      <c r="I501" s="6">
        <v>76560</v>
      </c>
      <c r="J501" s="4" t="s">
        <v>15</v>
      </c>
      <c r="K501" s="10" t="s">
        <v>486</v>
      </c>
      <c r="L501" s="4" t="s">
        <v>211</v>
      </c>
    </row>
    <row r="502" spans="1:12" x14ac:dyDescent="0.2">
      <c r="A502" s="4" t="s">
        <v>238</v>
      </c>
      <c r="B502" s="5">
        <v>46170</v>
      </c>
      <c r="C502" s="4">
        <v>23700</v>
      </c>
      <c r="D502" s="4" t="s">
        <v>13</v>
      </c>
      <c r="E502" s="4">
        <v>23700</v>
      </c>
      <c r="F502" s="4" t="s">
        <v>17</v>
      </c>
      <c r="G502" s="6">
        <v>1.1850000000000001</v>
      </c>
      <c r="H502" s="6">
        <v>5.944</v>
      </c>
      <c r="I502" s="6">
        <v>34365</v>
      </c>
      <c r="J502" s="4" t="s">
        <v>15</v>
      </c>
      <c r="K502" s="10" t="s">
        <v>487</v>
      </c>
      <c r="L502" s="4" t="s">
        <v>212</v>
      </c>
    </row>
    <row r="503" spans="1:12" x14ac:dyDescent="0.2">
      <c r="A503" s="4" t="s">
        <v>238</v>
      </c>
      <c r="B503" s="5">
        <v>46170</v>
      </c>
      <c r="C503" s="4">
        <v>36853</v>
      </c>
      <c r="D503" s="4" t="s">
        <v>213</v>
      </c>
      <c r="E503" s="4">
        <v>36853</v>
      </c>
      <c r="F503" s="4" t="s">
        <v>17</v>
      </c>
      <c r="G503" s="6">
        <v>1.843</v>
      </c>
      <c r="H503" s="6">
        <v>9.2430000000000003</v>
      </c>
      <c r="I503" s="6">
        <v>53437</v>
      </c>
      <c r="J503" s="4" t="s">
        <v>15</v>
      </c>
      <c r="K503" s="10" t="s">
        <v>485</v>
      </c>
      <c r="L503" s="4" t="s">
        <v>214</v>
      </c>
    </row>
    <row r="504" spans="1:12" x14ac:dyDescent="0.2">
      <c r="A504" s="4" t="s">
        <v>238</v>
      </c>
      <c r="B504" s="5">
        <v>46170</v>
      </c>
      <c r="C504" s="4">
        <v>73200</v>
      </c>
      <c r="D504" s="4" t="s">
        <v>13</v>
      </c>
      <c r="E504" s="4">
        <v>73200</v>
      </c>
      <c r="F504" s="4" t="s">
        <v>17</v>
      </c>
      <c r="G504" s="6">
        <v>3.66</v>
      </c>
      <c r="H504" s="6">
        <v>18.359000000000002</v>
      </c>
      <c r="I504" s="6">
        <v>106</v>
      </c>
      <c r="J504" s="4" t="s">
        <v>15</v>
      </c>
      <c r="K504" s="10" t="s">
        <v>487</v>
      </c>
      <c r="L504" s="4" t="s">
        <v>215</v>
      </c>
    </row>
    <row r="505" spans="1:12" x14ac:dyDescent="0.2">
      <c r="A505" s="4" t="s">
        <v>238</v>
      </c>
      <c r="B505" s="5">
        <v>46170</v>
      </c>
      <c r="C505" s="4">
        <v>69000</v>
      </c>
      <c r="D505" s="4" t="s">
        <v>13</v>
      </c>
      <c r="E505" s="4">
        <v>69000</v>
      </c>
      <c r="F505" s="4" t="s">
        <v>17</v>
      </c>
      <c r="G505" s="6">
        <v>3.45</v>
      </c>
      <c r="H505" s="6">
        <v>17.305</v>
      </c>
      <c r="I505" s="6">
        <v>100050</v>
      </c>
      <c r="J505" s="4" t="s">
        <v>15</v>
      </c>
      <c r="K505" s="10" t="s">
        <v>487</v>
      </c>
      <c r="L505" s="4" t="s">
        <v>216</v>
      </c>
    </row>
    <row r="506" spans="1:12" x14ac:dyDescent="0.2">
      <c r="A506" s="4" t="s">
        <v>238</v>
      </c>
      <c r="B506" s="5">
        <v>46170</v>
      </c>
      <c r="C506" s="4">
        <v>1770</v>
      </c>
      <c r="D506" s="4" t="s">
        <v>13</v>
      </c>
      <c r="E506" s="4">
        <v>59</v>
      </c>
      <c r="F506" s="4" t="s">
        <v>17</v>
      </c>
      <c r="G506" s="6">
        <v>1.4999999999999999E-2</v>
      </c>
      <c r="H506" s="6">
        <v>7.9000000000000001E-2</v>
      </c>
      <c r="I506" s="6">
        <v>496</v>
      </c>
      <c r="J506" s="4" t="s">
        <v>15</v>
      </c>
      <c r="K506" s="10" t="s">
        <v>480</v>
      </c>
      <c r="L506" s="4" t="s">
        <v>217</v>
      </c>
    </row>
    <row r="507" spans="1:12" x14ac:dyDescent="0.2">
      <c r="A507" s="4" t="s">
        <v>238</v>
      </c>
      <c r="B507" s="5">
        <v>46170</v>
      </c>
      <c r="C507" s="4">
        <v>109200</v>
      </c>
      <c r="D507" s="4" t="s">
        <v>13</v>
      </c>
      <c r="E507" s="4">
        <v>3640</v>
      </c>
      <c r="F507" s="4" t="s">
        <v>17</v>
      </c>
      <c r="G507" s="6">
        <v>1.163</v>
      </c>
      <c r="H507" s="6">
        <v>4.9029999999999996</v>
      </c>
      <c r="I507" s="6">
        <v>52416</v>
      </c>
      <c r="J507" s="4" t="s">
        <v>15</v>
      </c>
      <c r="K507" s="10" t="s">
        <v>488</v>
      </c>
      <c r="L507" s="4" t="s">
        <v>218</v>
      </c>
    </row>
    <row r="508" spans="1:12" x14ac:dyDescent="0.2">
      <c r="A508" s="4" t="s">
        <v>238</v>
      </c>
      <c r="B508" s="5">
        <v>46170</v>
      </c>
      <c r="C508" s="4">
        <v>109650</v>
      </c>
      <c r="D508" s="4" t="s">
        <v>13</v>
      </c>
      <c r="E508" s="4">
        <v>2193</v>
      </c>
      <c r="F508" s="4" t="s">
        <v>219</v>
      </c>
      <c r="G508" s="6">
        <v>70.176000000000002</v>
      </c>
      <c r="H508" s="6">
        <v>240.70400000000001</v>
      </c>
      <c r="I508" s="6">
        <v>254388</v>
      </c>
      <c r="J508" s="4" t="s">
        <v>15</v>
      </c>
      <c r="K508" s="10" t="s">
        <v>20</v>
      </c>
      <c r="L508" s="4" t="s">
        <v>220</v>
      </c>
    </row>
    <row r="509" spans="1:12" x14ac:dyDescent="0.2">
      <c r="A509" s="4" t="s">
        <v>238</v>
      </c>
      <c r="B509" s="5">
        <v>46170</v>
      </c>
      <c r="C509" s="4">
        <v>23</v>
      </c>
      <c r="D509" s="4" t="s">
        <v>13</v>
      </c>
      <c r="E509" s="4">
        <v>23</v>
      </c>
      <c r="F509" s="4" t="s">
        <v>14</v>
      </c>
      <c r="G509" s="6">
        <v>1.4999999999999999E-2</v>
      </c>
      <c r="H509" s="6">
        <v>0.05</v>
      </c>
      <c r="I509" s="6">
        <v>53</v>
      </c>
      <c r="J509" s="4" t="s">
        <v>15</v>
      </c>
      <c r="K509" s="10" t="s">
        <v>20</v>
      </c>
      <c r="L509" s="4" t="s">
        <v>220</v>
      </c>
    </row>
    <row r="510" spans="1:12" x14ac:dyDescent="0.2">
      <c r="A510" s="4" t="s">
        <v>238</v>
      </c>
      <c r="B510" s="5">
        <v>46170</v>
      </c>
      <c r="C510" s="4">
        <v>14</v>
      </c>
      <c r="D510" s="4" t="s">
        <v>13</v>
      </c>
      <c r="E510" s="4">
        <v>14</v>
      </c>
      <c r="F510" s="4" t="s">
        <v>14</v>
      </c>
      <c r="G510" s="6">
        <v>8.9999999999999993E-3</v>
      </c>
      <c r="H510" s="6">
        <v>3.1E-2</v>
      </c>
      <c r="I510" s="6">
        <v>32</v>
      </c>
      <c r="J510" s="4" t="s">
        <v>15</v>
      </c>
      <c r="K510" s="10" t="s">
        <v>20</v>
      </c>
      <c r="L510" s="4" t="s">
        <v>220</v>
      </c>
    </row>
    <row r="511" spans="1:12" x14ac:dyDescent="0.2">
      <c r="A511" s="4" t="s">
        <v>238</v>
      </c>
      <c r="B511" s="5">
        <v>46170</v>
      </c>
      <c r="C511" s="4">
        <v>432000</v>
      </c>
      <c r="D511" s="4" t="s">
        <v>13</v>
      </c>
      <c r="E511" s="4">
        <v>3000</v>
      </c>
      <c r="F511" s="4" t="s">
        <v>17</v>
      </c>
      <c r="G511" s="6">
        <v>1.296</v>
      </c>
      <c r="H511" s="6">
        <v>7.0549999999999997</v>
      </c>
      <c r="I511" s="6">
        <v>8340</v>
      </c>
      <c r="J511" s="4" t="s">
        <v>15</v>
      </c>
      <c r="K511" s="10" t="s">
        <v>368</v>
      </c>
      <c r="L511" s="4" t="s">
        <v>18</v>
      </c>
    </row>
    <row r="512" spans="1:12" x14ac:dyDescent="0.2">
      <c r="A512" s="4" t="s">
        <v>238</v>
      </c>
      <c r="B512" s="5">
        <v>46170</v>
      </c>
      <c r="C512" s="4">
        <v>432000</v>
      </c>
      <c r="D512" s="4" t="s">
        <v>13</v>
      </c>
      <c r="E512" s="4">
        <v>3000</v>
      </c>
      <c r="F512" s="4" t="s">
        <v>17</v>
      </c>
      <c r="G512" s="6">
        <v>1.296</v>
      </c>
      <c r="H512" s="6">
        <v>7.0549999999999997</v>
      </c>
      <c r="I512" s="6">
        <v>8340</v>
      </c>
      <c r="J512" s="4" t="s">
        <v>15</v>
      </c>
      <c r="K512" s="10" t="s">
        <v>368</v>
      </c>
      <c r="L512" s="4" t="s">
        <v>18</v>
      </c>
    </row>
    <row r="513" spans="1:12" x14ac:dyDescent="0.2">
      <c r="A513" s="4" t="s">
        <v>238</v>
      </c>
      <c r="B513" s="5">
        <v>46170</v>
      </c>
      <c r="C513" s="4">
        <v>423360</v>
      </c>
      <c r="D513" s="4" t="s">
        <v>13</v>
      </c>
      <c r="E513" s="4">
        <v>2940</v>
      </c>
      <c r="F513" s="4" t="s">
        <v>17</v>
      </c>
      <c r="G513" s="6">
        <v>1.27</v>
      </c>
      <c r="H513" s="6">
        <v>6.9130000000000003</v>
      </c>
      <c r="I513" s="6">
        <v>8173</v>
      </c>
      <c r="J513" s="4" t="s">
        <v>15</v>
      </c>
      <c r="K513" s="10" t="s">
        <v>368</v>
      </c>
      <c r="L513" s="4" t="s">
        <v>18</v>
      </c>
    </row>
    <row r="514" spans="1:12" x14ac:dyDescent="0.2">
      <c r="A514" s="4" t="s">
        <v>238</v>
      </c>
      <c r="B514" s="5">
        <v>46170</v>
      </c>
      <c r="C514" s="4">
        <v>432000</v>
      </c>
      <c r="D514" s="4" t="s">
        <v>13</v>
      </c>
      <c r="E514" s="4">
        <v>3000</v>
      </c>
      <c r="F514" s="4" t="s">
        <v>17</v>
      </c>
      <c r="G514" s="6">
        <v>1.296</v>
      </c>
      <c r="H514" s="6">
        <v>7.0549999999999997</v>
      </c>
      <c r="I514" s="6">
        <v>8340</v>
      </c>
      <c r="J514" s="4" t="s">
        <v>15</v>
      </c>
      <c r="K514" s="10" t="s">
        <v>369</v>
      </c>
      <c r="L514" s="4" t="s">
        <v>18</v>
      </c>
    </row>
    <row r="515" spans="1:12" x14ac:dyDescent="0.2">
      <c r="A515" s="4" t="s">
        <v>238</v>
      </c>
      <c r="B515" s="5">
        <v>46170</v>
      </c>
      <c r="C515" s="4">
        <v>437760</v>
      </c>
      <c r="D515" s="4" t="s">
        <v>13</v>
      </c>
      <c r="E515" s="4">
        <v>3040</v>
      </c>
      <c r="F515" s="4" t="s">
        <v>17</v>
      </c>
      <c r="G515" s="6">
        <v>1.3129999999999999</v>
      </c>
      <c r="H515" s="6">
        <v>7.15</v>
      </c>
      <c r="I515" s="6">
        <v>8451</v>
      </c>
      <c r="J515" s="4" t="s">
        <v>15</v>
      </c>
      <c r="K515" s="10" t="s">
        <v>369</v>
      </c>
      <c r="L515" s="4" t="s">
        <v>18</v>
      </c>
    </row>
    <row r="516" spans="1:12" x14ac:dyDescent="0.2">
      <c r="A516" s="4" t="s">
        <v>238</v>
      </c>
      <c r="B516" s="5">
        <v>46170</v>
      </c>
      <c r="C516" s="4">
        <v>432000</v>
      </c>
      <c r="D516" s="4" t="s">
        <v>13</v>
      </c>
      <c r="E516" s="4">
        <v>3000</v>
      </c>
      <c r="F516" s="4" t="s">
        <v>17</v>
      </c>
      <c r="G516" s="6">
        <v>1.296</v>
      </c>
      <c r="H516" s="6">
        <v>7.0549999999999997</v>
      </c>
      <c r="I516" s="6">
        <v>8340</v>
      </c>
      <c r="J516" s="4" t="s">
        <v>15</v>
      </c>
      <c r="K516" s="10" t="s">
        <v>369</v>
      </c>
      <c r="L516" s="4" t="s">
        <v>18</v>
      </c>
    </row>
    <row r="517" spans="1:12" x14ac:dyDescent="0.2">
      <c r="A517" s="4" t="s">
        <v>238</v>
      </c>
      <c r="B517" s="5">
        <v>46170</v>
      </c>
      <c r="C517" s="4">
        <v>432000</v>
      </c>
      <c r="D517" s="4" t="s">
        <v>13</v>
      </c>
      <c r="E517" s="4">
        <v>3000</v>
      </c>
      <c r="F517" s="4" t="s">
        <v>17</v>
      </c>
      <c r="G517" s="6">
        <v>1.296</v>
      </c>
      <c r="H517" s="6">
        <v>7.0549999999999997</v>
      </c>
      <c r="I517" s="6">
        <v>8340</v>
      </c>
      <c r="J517" s="4" t="s">
        <v>15</v>
      </c>
      <c r="K517" s="10" t="s">
        <v>369</v>
      </c>
      <c r="L517" s="4" t="s">
        <v>18</v>
      </c>
    </row>
    <row r="518" spans="1:12" x14ac:dyDescent="0.2">
      <c r="A518" s="4" t="s">
        <v>238</v>
      </c>
      <c r="B518" s="5">
        <v>46170</v>
      </c>
      <c r="C518" s="4">
        <v>434880</v>
      </c>
      <c r="D518" s="4" t="s">
        <v>13</v>
      </c>
      <c r="E518" s="4">
        <v>3020</v>
      </c>
      <c r="F518" s="4" t="s">
        <v>17</v>
      </c>
      <c r="G518" s="6">
        <v>1.296</v>
      </c>
      <c r="H518" s="6">
        <v>7.1</v>
      </c>
      <c r="I518" s="6">
        <v>8396</v>
      </c>
      <c r="J518" s="4" t="s">
        <v>15</v>
      </c>
      <c r="K518" s="10" t="s">
        <v>369</v>
      </c>
      <c r="L518" s="4" t="s">
        <v>18</v>
      </c>
    </row>
    <row r="519" spans="1:12" x14ac:dyDescent="0.2">
      <c r="A519" s="4" t="s">
        <v>238</v>
      </c>
      <c r="B519" s="5">
        <v>46170</v>
      </c>
      <c r="C519" s="4">
        <v>166800</v>
      </c>
      <c r="D519" s="4" t="s">
        <v>13</v>
      </c>
      <c r="E519" s="4">
        <v>1668</v>
      </c>
      <c r="F519" s="4" t="s">
        <v>17</v>
      </c>
      <c r="G519" s="6">
        <v>1.8009999999999999</v>
      </c>
      <c r="H519" s="6">
        <v>11.494</v>
      </c>
      <c r="I519" s="6">
        <v>68388</v>
      </c>
      <c r="J519" s="4" t="s">
        <v>15</v>
      </c>
      <c r="K519" s="10" t="s">
        <v>370</v>
      </c>
      <c r="L519" s="4" t="s">
        <v>19</v>
      </c>
    </row>
    <row r="520" spans="1:12" x14ac:dyDescent="0.2">
      <c r="A520" s="4" t="s">
        <v>238</v>
      </c>
      <c r="B520" s="5">
        <v>46170</v>
      </c>
      <c r="C520" s="4">
        <v>16000</v>
      </c>
      <c r="D520" s="4" t="s">
        <v>13</v>
      </c>
      <c r="E520" s="4">
        <v>800</v>
      </c>
      <c r="F520" s="4" t="s">
        <v>17</v>
      </c>
      <c r="G520" s="6">
        <v>9.4</v>
      </c>
      <c r="H520" s="6">
        <v>17.600000000000001</v>
      </c>
      <c r="I520" s="6">
        <v>3520</v>
      </c>
      <c r="J520" s="4" t="s">
        <v>15</v>
      </c>
      <c r="K520" s="10" t="s">
        <v>467</v>
      </c>
      <c r="L520" s="4" t="s">
        <v>165</v>
      </c>
    </row>
    <row r="521" spans="1:12" x14ac:dyDescent="0.2">
      <c r="A521" s="4" t="s">
        <v>238</v>
      </c>
      <c r="B521" s="5">
        <v>46170</v>
      </c>
      <c r="C521" s="4">
        <v>30000</v>
      </c>
      <c r="D521" s="4" t="s">
        <v>13</v>
      </c>
      <c r="E521" s="4">
        <v>30000</v>
      </c>
      <c r="F521" s="4" t="s">
        <v>14</v>
      </c>
      <c r="G521" s="6">
        <v>1.05</v>
      </c>
      <c r="H521" s="6">
        <v>8.8800000000000008</v>
      </c>
      <c r="I521" s="6">
        <v>4200</v>
      </c>
      <c r="J521" s="4" t="s">
        <v>15</v>
      </c>
      <c r="K521" s="10" t="s">
        <v>472</v>
      </c>
      <c r="L521" s="4" t="s">
        <v>176</v>
      </c>
    </row>
    <row r="522" spans="1:12" x14ac:dyDescent="0.2">
      <c r="A522" s="4" t="s">
        <v>238</v>
      </c>
      <c r="B522" s="5">
        <v>46170</v>
      </c>
      <c r="C522" s="4">
        <v>30000</v>
      </c>
      <c r="D522" s="4" t="s">
        <v>13</v>
      </c>
      <c r="E522" s="4">
        <v>30000</v>
      </c>
      <c r="F522" s="4" t="s">
        <v>14</v>
      </c>
      <c r="G522" s="6">
        <v>1.05</v>
      </c>
      <c r="H522" s="6">
        <v>8.8800000000000008</v>
      </c>
      <c r="I522" s="6">
        <v>4200</v>
      </c>
      <c r="J522" s="4" t="s">
        <v>15</v>
      </c>
      <c r="K522" s="10" t="s">
        <v>472</v>
      </c>
      <c r="L522" s="4" t="s">
        <v>176</v>
      </c>
    </row>
    <row r="523" spans="1:12" x14ac:dyDescent="0.2">
      <c r="A523" s="4" t="s">
        <v>238</v>
      </c>
      <c r="B523" s="5">
        <v>46170</v>
      </c>
      <c r="C523" s="4">
        <v>30000</v>
      </c>
      <c r="D523" s="4" t="s">
        <v>13</v>
      </c>
      <c r="E523" s="4">
        <v>30000</v>
      </c>
      <c r="F523" s="4" t="s">
        <v>14</v>
      </c>
      <c r="G523" s="6">
        <v>1.05</v>
      </c>
      <c r="H523" s="6">
        <v>8.8800000000000008</v>
      </c>
      <c r="I523" s="6">
        <v>4200</v>
      </c>
      <c r="J523" s="4" t="s">
        <v>15</v>
      </c>
      <c r="K523" s="10" t="s">
        <v>472</v>
      </c>
      <c r="L523" s="4" t="s">
        <v>176</v>
      </c>
    </row>
    <row r="524" spans="1:12" x14ac:dyDescent="0.2">
      <c r="A524" s="4" t="s">
        <v>238</v>
      </c>
      <c r="B524" s="5">
        <v>46170</v>
      </c>
      <c r="C524" s="4">
        <v>30000</v>
      </c>
      <c r="D524" s="4" t="s">
        <v>13</v>
      </c>
      <c r="E524" s="4">
        <v>30000</v>
      </c>
      <c r="F524" s="4" t="s">
        <v>14</v>
      </c>
      <c r="G524" s="6">
        <v>1.05</v>
      </c>
      <c r="H524" s="6">
        <v>8.8800000000000008</v>
      </c>
      <c r="I524" s="6">
        <v>4200</v>
      </c>
      <c r="J524" s="4" t="s">
        <v>15</v>
      </c>
      <c r="K524" s="10" t="s">
        <v>472</v>
      </c>
      <c r="L524" s="4" t="s">
        <v>176</v>
      </c>
    </row>
    <row r="525" spans="1:12" x14ac:dyDescent="0.2">
      <c r="A525" s="4" t="s">
        <v>238</v>
      </c>
      <c r="B525" s="5">
        <v>46170</v>
      </c>
      <c r="C525" s="4">
        <v>43100</v>
      </c>
      <c r="D525" s="4" t="s">
        <v>13</v>
      </c>
      <c r="E525" s="4">
        <v>43100</v>
      </c>
      <c r="F525" s="4" t="s">
        <v>14</v>
      </c>
      <c r="G525" s="6">
        <v>0.40100000000000002</v>
      </c>
      <c r="H525" s="6">
        <v>4.1589999999999998</v>
      </c>
      <c r="I525" s="6">
        <v>3620</v>
      </c>
      <c r="J525" s="4" t="s">
        <v>15</v>
      </c>
      <c r="K525" s="10" t="s">
        <v>473</v>
      </c>
      <c r="L525" s="4" t="s">
        <v>177</v>
      </c>
    </row>
    <row r="526" spans="1:12" x14ac:dyDescent="0.2">
      <c r="A526" s="4" t="s">
        <v>238</v>
      </c>
      <c r="B526" s="5">
        <v>46170</v>
      </c>
      <c r="C526" s="4">
        <v>66100</v>
      </c>
      <c r="D526" s="4" t="s">
        <v>13</v>
      </c>
      <c r="E526" s="4">
        <v>66100</v>
      </c>
      <c r="F526" s="4" t="s">
        <v>14</v>
      </c>
      <c r="G526" s="6">
        <v>0.61299999999999999</v>
      </c>
      <c r="H526" s="6">
        <v>6.3789999999999996</v>
      </c>
      <c r="I526" s="6">
        <v>5552</v>
      </c>
      <c r="J526" s="4" t="s">
        <v>15</v>
      </c>
      <c r="K526" s="10" t="s">
        <v>469</v>
      </c>
      <c r="L526" s="4" t="s">
        <v>178</v>
      </c>
    </row>
    <row r="527" spans="1:12" x14ac:dyDescent="0.2">
      <c r="A527" s="4" t="s">
        <v>238</v>
      </c>
      <c r="B527" s="5">
        <v>46170</v>
      </c>
      <c r="C527" s="4">
        <v>98100</v>
      </c>
      <c r="D527" s="4" t="s">
        <v>13</v>
      </c>
      <c r="E527" s="4">
        <v>98100</v>
      </c>
      <c r="F527" s="4" t="s">
        <v>14</v>
      </c>
      <c r="G527" s="6">
        <v>0.873</v>
      </c>
      <c r="H527" s="6">
        <v>9.4670000000000005</v>
      </c>
      <c r="I527" s="6">
        <v>8240</v>
      </c>
      <c r="J527" s="4" t="s">
        <v>15</v>
      </c>
      <c r="K527" s="10" t="s">
        <v>470</v>
      </c>
      <c r="L527" s="4" t="s">
        <v>179</v>
      </c>
    </row>
    <row r="528" spans="1:12" x14ac:dyDescent="0.2">
      <c r="A528" s="4" t="s">
        <v>238</v>
      </c>
      <c r="B528" s="5">
        <v>46170</v>
      </c>
      <c r="C528" s="4">
        <v>102400</v>
      </c>
      <c r="D528" s="4" t="s">
        <v>13</v>
      </c>
      <c r="E528" s="4">
        <v>1024</v>
      </c>
      <c r="F528" s="4" t="s">
        <v>17</v>
      </c>
      <c r="G528" s="6">
        <v>1.0069999999999999</v>
      </c>
      <c r="H528" s="6">
        <v>8.2029999999999994</v>
      </c>
      <c r="I528" s="6">
        <v>3502</v>
      </c>
      <c r="J528" s="4" t="s">
        <v>15</v>
      </c>
      <c r="K528" s="10" t="s">
        <v>474</v>
      </c>
      <c r="L528" s="4" t="s">
        <v>180</v>
      </c>
    </row>
    <row r="529" spans="1:12" x14ac:dyDescent="0.2">
      <c r="A529" s="4" t="s">
        <v>238</v>
      </c>
      <c r="B529" s="5">
        <v>46170</v>
      </c>
      <c r="C529" s="4">
        <v>10500</v>
      </c>
      <c r="D529" s="4" t="s">
        <v>13</v>
      </c>
      <c r="E529" s="4">
        <v>210</v>
      </c>
      <c r="F529" s="4" t="s">
        <v>17</v>
      </c>
      <c r="G529" s="6">
        <v>5.3999999999999999E-2</v>
      </c>
      <c r="H529" s="6">
        <v>0.03</v>
      </c>
      <c r="I529" s="6">
        <v>201</v>
      </c>
      <c r="J529" s="4" t="s">
        <v>15</v>
      </c>
      <c r="K529" s="10" t="s">
        <v>475</v>
      </c>
      <c r="L529" s="4" t="s">
        <v>181</v>
      </c>
    </row>
    <row r="530" spans="1:12" x14ac:dyDescent="0.2">
      <c r="A530" s="4" t="s">
        <v>238</v>
      </c>
      <c r="B530" s="5">
        <v>46170</v>
      </c>
      <c r="C530" s="4">
        <v>810</v>
      </c>
      <c r="D530" s="4" t="s">
        <v>13</v>
      </c>
      <c r="E530" s="4">
        <v>810</v>
      </c>
      <c r="F530" s="4" t="s">
        <v>14</v>
      </c>
      <c r="G530" s="6">
        <v>0.154</v>
      </c>
      <c r="H530" s="6">
        <v>0.84199999999999997</v>
      </c>
      <c r="I530" s="6">
        <v>4965</v>
      </c>
      <c r="J530" s="4" t="s">
        <v>15</v>
      </c>
      <c r="K530" s="10" t="s">
        <v>476</v>
      </c>
      <c r="L530" s="4" t="s">
        <v>182</v>
      </c>
    </row>
    <row r="531" spans="1:12" x14ac:dyDescent="0.2">
      <c r="A531" s="4" t="s">
        <v>238</v>
      </c>
      <c r="B531" s="5">
        <v>46170</v>
      </c>
      <c r="C531" s="4">
        <v>58</v>
      </c>
      <c r="D531" s="4" t="s">
        <v>13</v>
      </c>
      <c r="E531" s="4">
        <v>58</v>
      </c>
      <c r="F531" s="4" t="s">
        <v>14</v>
      </c>
      <c r="G531" s="6">
        <v>1.4999999999999999E-2</v>
      </c>
      <c r="H531" s="6">
        <v>0.185</v>
      </c>
      <c r="I531" s="6">
        <v>39</v>
      </c>
      <c r="J531" s="4" t="s">
        <v>15</v>
      </c>
      <c r="K531" s="10" t="s">
        <v>77</v>
      </c>
      <c r="L531" s="4" t="s">
        <v>221</v>
      </c>
    </row>
    <row r="532" spans="1:12" x14ac:dyDescent="0.2">
      <c r="A532" s="4" t="s">
        <v>238</v>
      </c>
      <c r="B532" s="5">
        <v>46170</v>
      </c>
      <c r="C532" s="4">
        <v>150</v>
      </c>
      <c r="D532" s="4" t="s">
        <v>13</v>
      </c>
      <c r="E532" s="4">
        <v>150</v>
      </c>
      <c r="F532" s="4" t="s">
        <v>14</v>
      </c>
      <c r="G532" s="6">
        <v>3.7999999999999999E-2</v>
      </c>
      <c r="H532" s="6">
        <v>0.46100000000000002</v>
      </c>
      <c r="I532" s="6">
        <v>98</v>
      </c>
      <c r="J532" s="4" t="s">
        <v>15</v>
      </c>
      <c r="K532" s="10" t="s">
        <v>77</v>
      </c>
      <c r="L532" s="4" t="s">
        <v>221</v>
      </c>
    </row>
    <row r="533" spans="1:12" x14ac:dyDescent="0.2">
      <c r="A533" s="4" t="s">
        <v>238</v>
      </c>
      <c r="B533" s="5">
        <v>46170</v>
      </c>
      <c r="C533" s="4">
        <v>360</v>
      </c>
      <c r="D533" s="4" t="s">
        <v>13</v>
      </c>
      <c r="E533" s="4">
        <v>360</v>
      </c>
      <c r="F533" s="4" t="s">
        <v>14</v>
      </c>
      <c r="G533" s="6">
        <v>9.0999999999999998E-2</v>
      </c>
      <c r="H533" s="6">
        <v>1.107</v>
      </c>
      <c r="I533" s="6">
        <v>234</v>
      </c>
      <c r="J533" s="4" t="s">
        <v>15</v>
      </c>
      <c r="K533" s="10" t="s">
        <v>77</v>
      </c>
      <c r="L533" s="4" t="s">
        <v>221</v>
      </c>
    </row>
    <row r="534" spans="1:12" x14ac:dyDescent="0.2">
      <c r="A534" s="4" t="s">
        <v>238</v>
      </c>
      <c r="B534" s="5">
        <v>46170</v>
      </c>
      <c r="C534" s="4">
        <v>390</v>
      </c>
      <c r="D534" s="4" t="s">
        <v>13</v>
      </c>
      <c r="E534" s="4">
        <v>390</v>
      </c>
      <c r="F534" s="4" t="s">
        <v>14</v>
      </c>
      <c r="G534" s="6">
        <v>9.9000000000000005E-2</v>
      </c>
      <c r="H534" s="6">
        <v>1.2</v>
      </c>
      <c r="I534" s="6">
        <v>254</v>
      </c>
      <c r="J534" s="4" t="s">
        <v>15</v>
      </c>
      <c r="K534" s="10" t="s">
        <v>77</v>
      </c>
      <c r="L534" s="4" t="s">
        <v>221</v>
      </c>
    </row>
    <row r="535" spans="1:12" x14ac:dyDescent="0.2">
      <c r="A535" s="4" t="s">
        <v>238</v>
      </c>
      <c r="B535" s="5">
        <v>46170</v>
      </c>
      <c r="C535" s="4">
        <v>30</v>
      </c>
      <c r="D535" s="4" t="s">
        <v>13</v>
      </c>
      <c r="E535" s="4">
        <v>30</v>
      </c>
      <c r="F535" s="4" t="s">
        <v>14</v>
      </c>
      <c r="G535" s="6">
        <v>8.0000000000000002E-3</v>
      </c>
      <c r="H535" s="6">
        <v>9.1999999999999998E-2</v>
      </c>
      <c r="I535" s="6">
        <v>20</v>
      </c>
      <c r="J535" s="4" t="s">
        <v>15</v>
      </c>
      <c r="K535" s="10" t="s">
        <v>77</v>
      </c>
      <c r="L535" s="4" t="s">
        <v>221</v>
      </c>
    </row>
    <row r="536" spans="1:12" x14ac:dyDescent="0.2">
      <c r="A536" s="4" t="s">
        <v>238</v>
      </c>
      <c r="B536" s="5">
        <v>46170</v>
      </c>
      <c r="C536" s="4">
        <v>36500</v>
      </c>
      <c r="D536" s="4" t="s">
        <v>13</v>
      </c>
      <c r="E536" s="4">
        <v>730</v>
      </c>
      <c r="F536" s="4" t="s">
        <v>17</v>
      </c>
      <c r="G536" s="6">
        <v>0.188</v>
      </c>
      <c r="H536" s="6">
        <v>0.105</v>
      </c>
      <c r="I536" s="6">
        <v>699</v>
      </c>
      <c r="J536" s="4" t="s">
        <v>15</v>
      </c>
      <c r="K536" s="10" t="s">
        <v>489</v>
      </c>
      <c r="L536" s="4" t="s">
        <v>222</v>
      </c>
    </row>
    <row r="537" spans="1:12" x14ac:dyDescent="0.2">
      <c r="A537" s="4" t="s">
        <v>238</v>
      </c>
      <c r="B537" s="5">
        <v>46170</v>
      </c>
      <c r="C537" s="4">
        <v>532825</v>
      </c>
      <c r="D537" s="4" t="s">
        <v>13</v>
      </c>
      <c r="E537" s="4">
        <v>21313</v>
      </c>
      <c r="F537" s="4" t="s">
        <v>17</v>
      </c>
      <c r="G537" s="6">
        <v>6.3940000000000001</v>
      </c>
      <c r="H537" s="6">
        <v>19.375</v>
      </c>
      <c r="I537" s="6">
        <v>90580</v>
      </c>
      <c r="J537" s="4" t="s">
        <v>15</v>
      </c>
      <c r="K537" s="10" t="s">
        <v>478</v>
      </c>
      <c r="L537" s="4" t="s">
        <v>223</v>
      </c>
    </row>
    <row r="538" spans="1:12" x14ac:dyDescent="0.2">
      <c r="A538" s="4" t="s">
        <v>238</v>
      </c>
      <c r="B538" s="5">
        <v>46170</v>
      </c>
      <c r="C538" s="4">
        <v>528775</v>
      </c>
      <c r="D538" s="4" t="s">
        <v>13</v>
      </c>
      <c r="E538" s="4">
        <v>21151</v>
      </c>
      <c r="F538" s="4" t="s">
        <v>17</v>
      </c>
      <c r="G538" s="6">
        <v>6.3449999999999998</v>
      </c>
      <c r="H538" s="6">
        <v>19.228000000000002</v>
      </c>
      <c r="I538" s="6">
        <v>89892</v>
      </c>
      <c r="J538" s="4" t="s">
        <v>15</v>
      </c>
      <c r="K538" s="10" t="s">
        <v>490</v>
      </c>
      <c r="L538" s="4" t="s">
        <v>224</v>
      </c>
    </row>
    <row r="539" spans="1:12" x14ac:dyDescent="0.2">
      <c r="A539" s="4" t="s">
        <v>238</v>
      </c>
      <c r="B539" s="5">
        <v>46170</v>
      </c>
      <c r="C539" s="4">
        <v>530875</v>
      </c>
      <c r="D539" s="4" t="s">
        <v>13</v>
      </c>
      <c r="E539" s="4">
        <v>21235</v>
      </c>
      <c r="F539" s="4" t="s">
        <v>17</v>
      </c>
      <c r="G539" s="6">
        <v>6.7949999999999999</v>
      </c>
      <c r="H539" s="6">
        <v>19.305</v>
      </c>
      <c r="I539" s="6">
        <v>90249</v>
      </c>
      <c r="J539" s="4" t="s">
        <v>15</v>
      </c>
      <c r="K539" s="10" t="s">
        <v>490</v>
      </c>
      <c r="L539" s="4" t="s">
        <v>225</v>
      </c>
    </row>
    <row r="540" spans="1:12" x14ac:dyDescent="0.2">
      <c r="A540" s="4" t="s">
        <v>238</v>
      </c>
      <c r="B540" s="5">
        <v>46170</v>
      </c>
      <c r="C540" s="4">
        <v>526625</v>
      </c>
      <c r="D540" s="4" t="s">
        <v>13</v>
      </c>
      <c r="E540" s="4">
        <v>21065</v>
      </c>
      <c r="F540" s="4" t="s">
        <v>17</v>
      </c>
      <c r="G540" s="6">
        <v>6.7409999999999997</v>
      </c>
      <c r="H540" s="6">
        <v>19.149999999999999</v>
      </c>
      <c r="I540" s="6">
        <v>89526</v>
      </c>
      <c r="J540" s="4" t="s">
        <v>15</v>
      </c>
      <c r="K540" s="10" t="s">
        <v>490</v>
      </c>
      <c r="L540" s="4" t="s">
        <v>226</v>
      </c>
    </row>
    <row r="541" spans="1:12" x14ac:dyDescent="0.2">
      <c r="A541" s="4" t="s">
        <v>238</v>
      </c>
      <c r="B541" s="5">
        <v>46170</v>
      </c>
      <c r="C541" s="4">
        <v>31350</v>
      </c>
      <c r="D541" s="4" t="s">
        <v>13</v>
      </c>
      <c r="E541" s="4">
        <v>1254</v>
      </c>
      <c r="F541" s="4" t="s">
        <v>17</v>
      </c>
      <c r="G541" s="6">
        <v>0.40100000000000002</v>
      </c>
      <c r="H541" s="6">
        <v>1.389</v>
      </c>
      <c r="I541" s="6">
        <v>5330</v>
      </c>
      <c r="J541" s="4" t="s">
        <v>15</v>
      </c>
      <c r="K541" s="10" t="s">
        <v>490</v>
      </c>
      <c r="L541" s="4" t="s">
        <v>227</v>
      </c>
    </row>
    <row r="542" spans="1:12" x14ac:dyDescent="0.2">
      <c r="A542" s="4" t="s">
        <v>238</v>
      </c>
      <c r="B542" s="5">
        <v>46170</v>
      </c>
      <c r="C542" s="4">
        <v>5525</v>
      </c>
      <c r="D542" s="4" t="s">
        <v>13</v>
      </c>
      <c r="E542" s="4">
        <v>221</v>
      </c>
      <c r="F542" s="4" t="s">
        <v>17</v>
      </c>
      <c r="G542" s="6">
        <v>6.6000000000000003E-2</v>
      </c>
      <c r="H542" s="6">
        <v>0.2</v>
      </c>
      <c r="I542" s="6">
        <v>939</v>
      </c>
      <c r="J542" s="4" t="s">
        <v>15</v>
      </c>
      <c r="K542" s="10" t="s">
        <v>490</v>
      </c>
      <c r="L542" s="4" t="s">
        <v>228</v>
      </c>
    </row>
    <row r="543" spans="1:12" x14ac:dyDescent="0.2">
      <c r="A543" s="4" t="s">
        <v>238</v>
      </c>
      <c r="B543" s="5">
        <v>46170</v>
      </c>
      <c r="C543" s="4">
        <v>131025</v>
      </c>
      <c r="D543" s="4" t="s">
        <v>13</v>
      </c>
      <c r="E543" s="4">
        <v>5241</v>
      </c>
      <c r="F543" s="4" t="s">
        <v>17</v>
      </c>
      <c r="G543" s="6">
        <v>1.5720000000000001</v>
      </c>
      <c r="H543" s="6">
        <v>4.7649999999999997</v>
      </c>
      <c r="I543" s="6">
        <v>22274</v>
      </c>
      <c r="J543" s="4" t="s">
        <v>15</v>
      </c>
      <c r="K543" s="10" t="s">
        <v>478</v>
      </c>
      <c r="L543" s="4" t="s">
        <v>229</v>
      </c>
    </row>
    <row r="544" spans="1:12" x14ac:dyDescent="0.2">
      <c r="A544" s="4" t="s">
        <v>238</v>
      </c>
      <c r="B544" s="5">
        <v>46170</v>
      </c>
      <c r="C544" s="4">
        <v>229500</v>
      </c>
      <c r="D544" s="4" t="s">
        <v>13</v>
      </c>
      <c r="E544" s="4">
        <v>9180</v>
      </c>
      <c r="F544" s="4" t="s">
        <v>17</v>
      </c>
      <c r="G544" s="6">
        <v>2.754</v>
      </c>
      <c r="H544" s="6">
        <v>8.3450000000000006</v>
      </c>
      <c r="I544" s="6">
        <v>39015</v>
      </c>
      <c r="J544" s="4" t="s">
        <v>15</v>
      </c>
      <c r="K544" s="10" t="s">
        <v>478</v>
      </c>
      <c r="L544" s="4" t="s">
        <v>230</v>
      </c>
    </row>
    <row r="545" spans="1:12" x14ac:dyDescent="0.2">
      <c r="A545" s="4" t="s">
        <v>238</v>
      </c>
      <c r="B545" s="5">
        <v>46170</v>
      </c>
      <c r="C545" s="4">
        <v>188025</v>
      </c>
      <c r="D545" s="4" t="s">
        <v>13</v>
      </c>
      <c r="E545" s="4">
        <v>7521</v>
      </c>
      <c r="F545" s="4" t="s">
        <v>17</v>
      </c>
      <c r="G545" s="6">
        <v>2.2559999999999998</v>
      </c>
      <c r="H545" s="6">
        <v>6.8369999999999997</v>
      </c>
      <c r="I545" s="6">
        <v>31964</v>
      </c>
      <c r="J545" s="4" t="s">
        <v>15</v>
      </c>
      <c r="K545" s="10" t="s">
        <v>478</v>
      </c>
      <c r="L545" s="4" t="s">
        <v>231</v>
      </c>
    </row>
    <row r="546" spans="1:12" x14ac:dyDescent="0.2">
      <c r="A546" s="4" t="s">
        <v>238</v>
      </c>
      <c r="B546" s="5">
        <v>46170</v>
      </c>
      <c r="C546" s="4">
        <v>243025</v>
      </c>
      <c r="D546" s="4" t="s">
        <v>13</v>
      </c>
      <c r="E546" s="4">
        <v>9721</v>
      </c>
      <c r="F546" s="4" t="s">
        <v>17</v>
      </c>
      <c r="G546" s="6">
        <v>2.9159999999999999</v>
      </c>
      <c r="H546" s="6">
        <v>8.8369999999999997</v>
      </c>
      <c r="I546" s="6">
        <v>41314</v>
      </c>
      <c r="J546" s="4" t="s">
        <v>15</v>
      </c>
      <c r="K546" s="10" t="s">
        <v>478</v>
      </c>
      <c r="L546" s="4" t="s">
        <v>232</v>
      </c>
    </row>
    <row r="547" spans="1:12" x14ac:dyDescent="0.2">
      <c r="A547" s="4" t="s">
        <v>238</v>
      </c>
      <c r="B547" s="5">
        <v>46170</v>
      </c>
      <c r="C547" s="4">
        <v>514600</v>
      </c>
      <c r="D547" s="4" t="s">
        <v>13</v>
      </c>
      <c r="E547" s="4">
        <v>20584</v>
      </c>
      <c r="F547" s="4" t="s">
        <v>17</v>
      </c>
      <c r="G547" s="6">
        <v>6.1749999999999998</v>
      </c>
      <c r="H547" s="6">
        <v>18.713000000000001</v>
      </c>
      <c r="I547" s="6">
        <v>87482</v>
      </c>
      <c r="J547" s="4" t="s">
        <v>15</v>
      </c>
      <c r="K547" s="10" t="s">
        <v>478</v>
      </c>
      <c r="L547" s="4" t="s">
        <v>233</v>
      </c>
    </row>
    <row r="548" spans="1:12" x14ac:dyDescent="0.2">
      <c r="A548" s="4" t="s">
        <v>238</v>
      </c>
      <c r="B548" s="5">
        <v>46170</v>
      </c>
      <c r="C548" s="4">
        <v>535625</v>
      </c>
      <c r="D548" s="4" t="s">
        <v>13</v>
      </c>
      <c r="E548" s="4">
        <v>21425</v>
      </c>
      <c r="F548" s="4" t="s">
        <v>17</v>
      </c>
      <c r="G548" s="6">
        <v>6.8559999999999999</v>
      </c>
      <c r="H548" s="6">
        <v>19.477</v>
      </c>
      <c r="I548" s="6">
        <v>91056</v>
      </c>
      <c r="J548" s="4" t="s">
        <v>15</v>
      </c>
      <c r="K548" s="10" t="s">
        <v>478</v>
      </c>
      <c r="L548" s="4" t="s">
        <v>234</v>
      </c>
    </row>
    <row r="549" spans="1:12" x14ac:dyDescent="0.2">
      <c r="A549" s="4" t="s">
        <v>238</v>
      </c>
      <c r="B549" s="5">
        <v>46170</v>
      </c>
      <c r="C549" s="4">
        <v>511650</v>
      </c>
      <c r="D549" s="4" t="s">
        <v>13</v>
      </c>
      <c r="E549" s="4">
        <v>20466</v>
      </c>
      <c r="F549" s="4" t="s">
        <v>17</v>
      </c>
      <c r="G549" s="6">
        <v>6.5490000000000004</v>
      </c>
      <c r="H549" s="6">
        <v>18.605</v>
      </c>
      <c r="I549" s="6">
        <v>86981</v>
      </c>
      <c r="J549" s="4" t="s">
        <v>15</v>
      </c>
      <c r="K549" s="10" t="s">
        <v>478</v>
      </c>
      <c r="L549" s="4" t="s">
        <v>235</v>
      </c>
    </row>
    <row r="550" spans="1:12" x14ac:dyDescent="0.2">
      <c r="A550" s="4" t="s">
        <v>238</v>
      </c>
      <c r="B550" s="5">
        <v>46170</v>
      </c>
      <c r="C550" s="4">
        <v>24060</v>
      </c>
      <c r="D550" s="4" t="s">
        <v>13</v>
      </c>
      <c r="E550" s="4">
        <v>1203</v>
      </c>
      <c r="F550" s="4" t="s">
        <v>17</v>
      </c>
      <c r="G550" s="6">
        <v>13.834</v>
      </c>
      <c r="H550" s="6">
        <v>26.779</v>
      </c>
      <c r="I550" s="6">
        <v>4331</v>
      </c>
      <c r="J550" s="4" t="s">
        <v>15</v>
      </c>
      <c r="K550" s="10" t="s">
        <v>491</v>
      </c>
      <c r="L550" s="4" t="s">
        <v>236</v>
      </c>
    </row>
    <row r="551" spans="1:12" x14ac:dyDescent="0.2">
      <c r="A551" s="4" t="s">
        <v>238</v>
      </c>
      <c r="B551" s="5">
        <v>46170</v>
      </c>
      <c r="C551" s="4">
        <v>5940</v>
      </c>
      <c r="D551" s="4" t="s">
        <v>13</v>
      </c>
      <c r="E551" s="4">
        <v>297</v>
      </c>
      <c r="F551" s="4" t="s">
        <v>17</v>
      </c>
      <c r="G551" s="6">
        <v>3.415</v>
      </c>
      <c r="H551" s="6">
        <v>6.6109999999999998</v>
      </c>
      <c r="I551" s="6">
        <v>1069</v>
      </c>
      <c r="J551" s="4" t="s">
        <v>15</v>
      </c>
      <c r="K551" s="10" t="s">
        <v>491</v>
      </c>
      <c r="L551" s="4" t="s">
        <v>237</v>
      </c>
    </row>
    <row r="552" spans="1:12" x14ac:dyDescent="0.2">
      <c r="A552" s="4" t="s">
        <v>238</v>
      </c>
      <c r="B552" s="5">
        <v>46170</v>
      </c>
      <c r="C552" s="4">
        <v>600</v>
      </c>
      <c r="D552" s="4" t="s">
        <v>13</v>
      </c>
      <c r="E552" s="4">
        <v>12</v>
      </c>
      <c r="F552" s="4" t="s">
        <v>219</v>
      </c>
      <c r="G552" s="6">
        <v>0.38400000000000001</v>
      </c>
      <c r="H552" s="6">
        <v>1.3169999999999999</v>
      </c>
      <c r="I552" s="6">
        <v>1392</v>
      </c>
      <c r="J552" s="4" t="s">
        <v>15</v>
      </c>
      <c r="K552" s="10" t="s">
        <v>20</v>
      </c>
      <c r="L552" s="4" t="s">
        <v>220</v>
      </c>
    </row>
    <row r="553" spans="1:12" x14ac:dyDescent="0.2">
      <c r="A553" s="4" t="s">
        <v>238</v>
      </c>
      <c r="B553" s="5">
        <v>46170</v>
      </c>
      <c r="C553" s="4">
        <v>14</v>
      </c>
      <c r="D553" s="4" t="s">
        <v>13</v>
      </c>
      <c r="E553" s="4">
        <v>14</v>
      </c>
      <c r="F553" s="4" t="s">
        <v>14</v>
      </c>
      <c r="G553" s="6">
        <v>8.9999999999999993E-3</v>
      </c>
      <c r="H553" s="6">
        <v>3.1E-2</v>
      </c>
      <c r="I553" s="6">
        <v>32</v>
      </c>
      <c r="J553" s="4" t="s">
        <v>15</v>
      </c>
      <c r="K553" s="10" t="s">
        <v>20</v>
      </c>
      <c r="L553" s="4" t="s">
        <v>220</v>
      </c>
    </row>
    <row r="554" spans="1:12" x14ac:dyDescent="0.2">
      <c r="A554" s="4" t="s">
        <v>238</v>
      </c>
      <c r="B554" s="5">
        <v>46170</v>
      </c>
      <c r="C554" s="4">
        <v>550</v>
      </c>
      <c r="D554" s="4" t="s">
        <v>13</v>
      </c>
      <c r="E554" s="4">
        <v>11</v>
      </c>
      <c r="F554" s="4" t="s">
        <v>219</v>
      </c>
      <c r="G554" s="6">
        <v>0.35199999999999998</v>
      </c>
      <c r="H554" s="6">
        <v>1.2070000000000001</v>
      </c>
      <c r="I554" s="6">
        <v>1276</v>
      </c>
      <c r="J554" s="4" t="s">
        <v>15</v>
      </c>
      <c r="K554" s="10" t="s">
        <v>20</v>
      </c>
      <c r="L554" s="4" t="s">
        <v>220</v>
      </c>
    </row>
    <row r="555" spans="1:12" x14ac:dyDescent="0.2">
      <c r="A555" s="4" t="s">
        <v>238</v>
      </c>
      <c r="B555" s="5">
        <v>46170</v>
      </c>
      <c r="C555" s="4">
        <v>50</v>
      </c>
      <c r="D555" s="4" t="s">
        <v>13</v>
      </c>
      <c r="E555" s="4">
        <v>1</v>
      </c>
      <c r="F555" s="4" t="s">
        <v>219</v>
      </c>
      <c r="G555" s="6">
        <v>3.2000000000000001E-2</v>
      </c>
      <c r="H555" s="6">
        <v>0.11</v>
      </c>
      <c r="I555" s="6">
        <v>116</v>
      </c>
      <c r="J555" s="4" t="s">
        <v>15</v>
      </c>
      <c r="K555" s="10" t="s">
        <v>20</v>
      </c>
      <c r="L555" s="4" t="s">
        <v>220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8BCE-F257-473E-9A7C-933F64A63F40}">
  <dimension ref="A1:F41"/>
  <sheetViews>
    <sheetView topLeftCell="B18" workbookViewId="0">
      <selection activeCell="C10" sqref="C10"/>
    </sheetView>
  </sheetViews>
  <sheetFormatPr defaultRowHeight="12.75" x14ac:dyDescent="0.2"/>
  <cols>
    <col min="1" max="1" width="22.7109375" style="4" customWidth="1"/>
    <col min="2" max="2" width="65.42578125" style="4" customWidth="1"/>
    <col min="3" max="3" width="13.140625" style="4" customWidth="1"/>
    <col min="4" max="4" width="26" style="4" customWidth="1"/>
    <col min="5" max="5" width="23.42578125" style="4" customWidth="1"/>
    <col min="6" max="6" width="31" style="4" bestFit="1" customWidth="1"/>
    <col min="7" max="256" width="9.140625" style="4"/>
    <col min="257" max="257" width="22.7109375" style="4" customWidth="1"/>
    <col min="258" max="258" width="65.42578125" style="4" customWidth="1"/>
    <col min="259" max="259" width="13.140625" style="4" customWidth="1"/>
    <col min="260" max="260" width="26" style="4" customWidth="1"/>
    <col min="261" max="261" width="23.42578125" style="4" customWidth="1"/>
    <col min="262" max="262" width="17.140625" style="4" customWidth="1"/>
    <col min="263" max="512" width="9.140625" style="4"/>
    <col min="513" max="513" width="22.7109375" style="4" customWidth="1"/>
    <col min="514" max="514" width="65.42578125" style="4" customWidth="1"/>
    <col min="515" max="515" width="13.140625" style="4" customWidth="1"/>
    <col min="516" max="516" width="26" style="4" customWidth="1"/>
    <col min="517" max="517" width="23.42578125" style="4" customWidth="1"/>
    <col min="518" max="518" width="17.140625" style="4" customWidth="1"/>
    <col min="519" max="768" width="9.140625" style="4"/>
    <col min="769" max="769" width="22.7109375" style="4" customWidth="1"/>
    <col min="770" max="770" width="65.42578125" style="4" customWidth="1"/>
    <col min="771" max="771" width="13.140625" style="4" customWidth="1"/>
    <col min="772" max="772" width="26" style="4" customWidth="1"/>
    <col min="773" max="773" width="23.42578125" style="4" customWidth="1"/>
    <col min="774" max="774" width="17.140625" style="4" customWidth="1"/>
    <col min="775" max="1024" width="9.140625" style="4"/>
    <col min="1025" max="1025" width="22.7109375" style="4" customWidth="1"/>
    <col min="1026" max="1026" width="65.42578125" style="4" customWidth="1"/>
    <col min="1027" max="1027" width="13.140625" style="4" customWidth="1"/>
    <col min="1028" max="1028" width="26" style="4" customWidth="1"/>
    <col min="1029" max="1029" width="23.42578125" style="4" customWidth="1"/>
    <col min="1030" max="1030" width="17.140625" style="4" customWidth="1"/>
    <col min="1031" max="1280" width="9.140625" style="4"/>
    <col min="1281" max="1281" width="22.7109375" style="4" customWidth="1"/>
    <col min="1282" max="1282" width="65.42578125" style="4" customWidth="1"/>
    <col min="1283" max="1283" width="13.140625" style="4" customWidth="1"/>
    <col min="1284" max="1284" width="26" style="4" customWidth="1"/>
    <col min="1285" max="1285" width="23.42578125" style="4" customWidth="1"/>
    <col min="1286" max="1286" width="17.140625" style="4" customWidth="1"/>
    <col min="1287" max="1536" width="9.140625" style="4"/>
    <col min="1537" max="1537" width="22.7109375" style="4" customWidth="1"/>
    <col min="1538" max="1538" width="65.42578125" style="4" customWidth="1"/>
    <col min="1539" max="1539" width="13.140625" style="4" customWidth="1"/>
    <col min="1540" max="1540" width="26" style="4" customWidth="1"/>
    <col min="1541" max="1541" width="23.42578125" style="4" customWidth="1"/>
    <col min="1542" max="1542" width="17.140625" style="4" customWidth="1"/>
    <col min="1543" max="1792" width="9.140625" style="4"/>
    <col min="1793" max="1793" width="22.7109375" style="4" customWidth="1"/>
    <col min="1794" max="1794" width="65.42578125" style="4" customWidth="1"/>
    <col min="1795" max="1795" width="13.140625" style="4" customWidth="1"/>
    <col min="1796" max="1796" width="26" style="4" customWidth="1"/>
    <col min="1797" max="1797" width="23.42578125" style="4" customWidth="1"/>
    <col min="1798" max="1798" width="17.140625" style="4" customWidth="1"/>
    <col min="1799" max="2048" width="9.140625" style="4"/>
    <col min="2049" max="2049" width="22.7109375" style="4" customWidth="1"/>
    <col min="2050" max="2050" width="65.42578125" style="4" customWidth="1"/>
    <col min="2051" max="2051" width="13.140625" style="4" customWidth="1"/>
    <col min="2052" max="2052" width="26" style="4" customWidth="1"/>
    <col min="2053" max="2053" width="23.42578125" style="4" customWidth="1"/>
    <col min="2054" max="2054" width="17.140625" style="4" customWidth="1"/>
    <col min="2055" max="2304" width="9.140625" style="4"/>
    <col min="2305" max="2305" width="22.7109375" style="4" customWidth="1"/>
    <col min="2306" max="2306" width="65.42578125" style="4" customWidth="1"/>
    <col min="2307" max="2307" width="13.140625" style="4" customWidth="1"/>
    <col min="2308" max="2308" width="26" style="4" customWidth="1"/>
    <col min="2309" max="2309" width="23.42578125" style="4" customWidth="1"/>
    <col min="2310" max="2310" width="17.140625" style="4" customWidth="1"/>
    <col min="2311" max="2560" width="9.140625" style="4"/>
    <col min="2561" max="2561" width="22.7109375" style="4" customWidth="1"/>
    <col min="2562" max="2562" width="65.42578125" style="4" customWidth="1"/>
    <col min="2563" max="2563" width="13.140625" style="4" customWidth="1"/>
    <col min="2564" max="2564" width="26" style="4" customWidth="1"/>
    <col min="2565" max="2565" width="23.42578125" style="4" customWidth="1"/>
    <col min="2566" max="2566" width="17.140625" style="4" customWidth="1"/>
    <col min="2567" max="2816" width="9.140625" style="4"/>
    <col min="2817" max="2817" width="22.7109375" style="4" customWidth="1"/>
    <col min="2818" max="2818" width="65.42578125" style="4" customWidth="1"/>
    <col min="2819" max="2819" width="13.140625" style="4" customWidth="1"/>
    <col min="2820" max="2820" width="26" style="4" customWidth="1"/>
    <col min="2821" max="2821" width="23.42578125" style="4" customWidth="1"/>
    <col min="2822" max="2822" width="17.140625" style="4" customWidth="1"/>
    <col min="2823" max="3072" width="9.140625" style="4"/>
    <col min="3073" max="3073" width="22.7109375" style="4" customWidth="1"/>
    <col min="3074" max="3074" width="65.42578125" style="4" customWidth="1"/>
    <col min="3075" max="3075" width="13.140625" style="4" customWidth="1"/>
    <col min="3076" max="3076" width="26" style="4" customWidth="1"/>
    <col min="3077" max="3077" width="23.42578125" style="4" customWidth="1"/>
    <col min="3078" max="3078" width="17.140625" style="4" customWidth="1"/>
    <col min="3079" max="3328" width="9.140625" style="4"/>
    <col min="3329" max="3329" width="22.7109375" style="4" customWidth="1"/>
    <col min="3330" max="3330" width="65.42578125" style="4" customWidth="1"/>
    <col min="3331" max="3331" width="13.140625" style="4" customWidth="1"/>
    <col min="3332" max="3332" width="26" style="4" customWidth="1"/>
    <col min="3333" max="3333" width="23.42578125" style="4" customWidth="1"/>
    <col min="3334" max="3334" width="17.140625" style="4" customWidth="1"/>
    <col min="3335" max="3584" width="9.140625" style="4"/>
    <col min="3585" max="3585" width="22.7109375" style="4" customWidth="1"/>
    <col min="3586" max="3586" width="65.42578125" style="4" customWidth="1"/>
    <col min="3587" max="3587" width="13.140625" style="4" customWidth="1"/>
    <col min="3588" max="3588" width="26" style="4" customWidth="1"/>
    <col min="3589" max="3589" width="23.42578125" style="4" customWidth="1"/>
    <col min="3590" max="3590" width="17.140625" style="4" customWidth="1"/>
    <col min="3591" max="3840" width="9.140625" style="4"/>
    <col min="3841" max="3841" width="22.7109375" style="4" customWidth="1"/>
    <col min="3842" max="3842" width="65.42578125" style="4" customWidth="1"/>
    <col min="3843" max="3843" width="13.140625" style="4" customWidth="1"/>
    <col min="3844" max="3844" width="26" style="4" customWidth="1"/>
    <col min="3845" max="3845" width="23.42578125" style="4" customWidth="1"/>
    <col min="3846" max="3846" width="17.140625" style="4" customWidth="1"/>
    <col min="3847" max="4096" width="9.140625" style="4"/>
    <col min="4097" max="4097" width="22.7109375" style="4" customWidth="1"/>
    <col min="4098" max="4098" width="65.42578125" style="4" customWidth="1"/>
    <col min="4099" max="4099" width="13.140625" style="4" customWidth="1"/>
    <col min="4100" max="4100" width="26" style="4" customWidth="1"/>
    <col min="4101" max="4101" width="23.42578125" style="4" customWidth="1"/>
    <col min="4102" max="4102" width="17.140625" style="4" customWidth="1"/>
    <col min="4103" max="4352" width="9.140625" style="4"/>
    <col min="4353" max="4353" width="22.7109375" style="4" customWidth="1"/>
    <col min="4354" max="4354" width="65.42578125" style="4" customWidth="1"/>
    <col min="4355" max="4355" width="13.140625" style="4" customWidth="1"/>
    <col min="4356" max="4356" width="26" style="4" customWidth="1"/>
    <col min="4357" max="4357" width="23.42578125" style="4" customWidth="1"/>
    <col min="4358" max="4358" width="17.140625" style="4" customWidth="1"/>
    <col min="4359" max="4608" width="9.140625" style="4"/>
    <col min="4609" max="4609" width="22.7109375" style="4" customWidth="1"/>
    <col min="4610" max="4610" width="65.42578125" style="4" customWidth="1"/>
    <col min="4611" max="4611" width="13.140625" style="4" customWidth="1"/>
    <col min="4612" max="4612" width="26" style="4" customWidth="1"/>
    <col min="4613" max="4613" width="23.42578125" style="4" customWidth="1"/>
    <col min="4614" max="4614" width="17.140625" style="4" customWidth="1"/>
    <col min="4615" max="4864" width="9.140625" style="4"/>
    <col min="4865" max="4865" width="22.7109375" style="4" customWidth="1"/>
    <col min="4866" max="4866" width="65.42578125" style="4" customWidth="1"/>
    <col min="4867" max="4867" width="13.140625" style="4" customWidth="1"/>
    <col min="4868" max="4868" width="26" style="4" customWidth="1"/>
    <col min="4869" max="4869" width="23.42578125" style="4" customWidth="1"/>
    <col min="4870" max="4870" width="17.140625" style="4" customWidth="1"/>
    <col min="4871" max="5120" width="9.140625" style="4"/>
    <col min="5121" max="5121" width="22.7109375" style="4" customWidth="1"/>
    <col min="5122" max="5122" width="65.42578125" style="4" customWidth="1"/>
    <col min="5123" max="5123" width="13.140625" style="4" customWidth="1"/>
    <col min="5124" max="5124" width="26" style="4" customWidth="1"/>
    <col min="5125" max="5125" width="23.42578125" style="4" customWidth="1"/>
    <col min="5126" max="5126" width="17.140625" style="4" customWidth="1"/>
    <col min="5127" max="5376" width="9.140625" style="4"/>
    <col min="5377" max="5377" width="22.7109375" style="4" customWidth="1"/>
    <col min="5378" max="5378" width="65.42578125" style="4" customWidth="1"/>
    <col min="5379" max="5379" width="13.140625" style="4" customWidth="1"/>
    <col min="5380" max="5380" width="26" style="4" customWidth="1"/>
    <col min="5381" max="5381" width="23.42578125" style="4" customWidth="1"/>
    <col min="5382" max="5382" width="17.140625" style="4" customWidth="1"/>
    <col min="5383" max="5632" width="9.140625" style="4"/>
    <col min="5633" max="5633" width="22.7109375" style="4" customWidth="1"/>
    <col min="5634" max="5634" width="65.42578125" style="4" customWidth="1"/>
    <col min="5635" max="5635" width="13.140625" style="4" customWidth="1"/>
    <col min="5636" max="5636" width="26" style="4" customWidth="1"/>
    <col min="5637" max="5637" width="23.42578125" style="4" customWidth="1"/>
    <col min="5638" max="5638" width="17.140625" style="4" customWidth="1"/>
    <col min="5639" max="5888" width="9.140625" style="4"/>
    <col min="5889" max="5889" width="22.7109375" style="4" customWidth="1"/>
    <col min="5890" max="5890" width="65.42578125" style="4" customWidth="1"/>
    <col min="5891" max="5891" width="13.140625" style="4" customWidth="1"/>
    <col min="5892" max="5892" width="26" style="4" customWidth="1"/>
    <col min="5893" max="5893" width="23.42578125" style="4" customWidth="1"/>
    <col min="5894" max="5894" width="17.140625" style="4" customWidth="1"/>
    <col min="5895" max="6144" width="9.140625" style="4"/>
    <col min="6145" max="6145" width="22.7109375" style="4" customWidth="1"/>
    <col min="6146" max="6146" width="65.42578125" style="4" customWidth="1"/>
    <col min="6147" max="6147" width="13.140625" style="4" customWidth="1"/>
    <col min="6148" max="6148" width="26" style="4" customWidth="1"/>
    <col min="6149" max="6149" width="23.42578125" style="4" customWidth="1"/>
    <col min="6150" max="6150" width="17.140625" style="4" customWidth="1"/>
    <col min="6151" max="6400" width="9.140625" style="4"/>
    <col min="6401" max="6401" width="22.7109375" style="4" customWidth="1"/>
    <col min="6402" max="6402" width="65.42578125" style="4" customWidth="1"/>
    <col min="6403" max="6403" width="13.140625" style="4" customWidth="1"/>
    <col min="6404" max="6404" width="26" style="4" customWidth="1"/>
    <col min="6405" max="6405" width="23.42578125" style="4" customWidth="1"/>
    <col min="6406" max="6406" width="17.140625" style="4" customWidth="1"/>
    <col min="6407" max="6656" width="9.140625" style="4"/>
    <col min="6657" max="6657" width="22.7109375" style="4" customWidth="1"/>
    <col min="6658" max="6658" width="65.42578125" style="4" customWidth="1"/>
    <col min="6659" max="6659" width="13.140625" style="4" customWidth="1"/>
    <col min="6660" max="6660" width="26" style="4" customWidth="1"/>
    <col min="6661" max="6661" width="23.42578125" style="4" customWidth="1"/>
    <col min="6662" max="6662" width="17.140625" style="4" customWidth="1"/>
    <col min="6663" max="6912" width="9.140625" style="4"/>
    <col min="6913" max="6913" width="22.7109375" style="4" customWidth="1"/>
    <col min="6914" max="6914" width="65.42578125" style="4" customWidth="1"/>
    <col min="6915" max="6915" width="13.140625" style="4" customWidth="1"/>
    <col min="6916" max="6916" width="26" style="4" customWidth="1"/>
    <col min="6917" max="6917" width="23.42578125" style="4" customWidth="1"/>
    <col min="6918" max="6918" width="17.140625" style="4" customWidth="1"/>
    <col min="6919" max="7168" width="9.140625" style="4"/>
    <col min="7169" max="7169" width="22.7109375" style="4" customWidth="1"/>
    <col min="7170" max="7170" width="65.42578125" style="4" customWidth="1"/>
    <col min="7171" max="7171" width="13.140625" style="4" customWidth="1"/>
    <col min="7172" max="7172" width="26" style="4" customWidth="1"/>
    <col min="7173" max="7173" width="23.42578125" style="4" customWidth="1"/>
    <col min="7174" max="7174" width="17.140625" style="4" customWidth="1"/>
    <col min="7175" max="7424" width="9.140625" style="4"/>
    <col min="7425" max="7425" width="22.7109375" style="4" customWidth="1"/>
    <col min="7426" max="7426" width="65.42578125" style="4" customWidth="1"/>
    <col min="7427" max="7427" width="13.140625" style="4" customWidth="1"/>
    <col min="7428" max="7428" width="26" style="4" customWidth="1"/>
    <col min="7429" max="7429" width="23.42578125" style="4" customWidth="1"/>
    <col min="7430" max="7430" width="17.140625" style="4" customWidth="1"/>
    <col min="7431" max="7680" width="9.140625" style="4"/>
    <col min="7681" max="7681" width="22.7109375" style="4" customWidth="1"/>
    <col min="7682" max="7682" width="65.42578125" style="4" customWidth="1"/>
    <col min="7683" max="7683" width="13.140625" style="4" customWidth="1"/>
    <col min="7684" max="7684" width="26" style="4" customWidth="1"/>
    <col min="7685" max="7685" width="23.42578125" style="4" customWidth="1"/>
    <col min="7686" max="7686" width="17.140625" style="4" customWidth="1"/>
    <col min="7687" max="7936" width="9.140625" style="4"/>
    <col min="7937" max="7937" width="22.7109375" style="4" customWidth="1"/>
    <col min="7938" max="7938" width="65.42578125" style="4" customWidth="1"/>
    <col min="7939" max="7939" width="13.140625" style="4" customWidth="1"/>
    <col min="7940" max="7940" width="26" style="4" customWidth="1"/>
    <col min="7941" max="7941" width="23.42578125" style="4" customWidth="1"/>
    <col min="7942" max="7942" width="17.140625" style="4" customWidth="1"/>
    <col min="7943" max="8192" width="9.140625" style="4"/>
    <col min="8193" max="8193" width="22.7109375" style="4" customWidth="1"/>
    <col min="8194" max="8194" width="65.42578125" style="4" customWidth="1"/>
    <col min="8195" max="8195" width="13.140625" style="4" customWidth="1"/>
    <col min="8196" max="8196" width="26" style="4" customWidth="1"/>
    <col min="8197" max="8197" width="23.42578125" style="4" customWidth="1"/>
    <col min="8198" max="8198" width="17.140625" style="4" customWidth="1"/>
    <col min="8199" max="8448" width="9.140625" style="4"/>
    <col min="8449" max="8449" width="22.7109375" style="4" customWidth="1"/>
    <col min="8450" max="8450" width="65.42578125" style="4" customWidth="1"/>
    <col min="8451" max="8451" width="13.140625" style="4" customWidth="1"/>
    <col min="8452" max="8452" width="26" style="4" customWidth="1"/>
    <col min="8453" max="8453" width="23.42578125" style="4" customWidth="1"/>
    <col min="8454" max="8454" width="17.140625" style="4" customWidth="1"/>
    <col min="8455" max="8704" width="9.140625" style="4"/>
    <col min="8705" max="8705" width="22.7109375" style="4" customWidth="1"/>
    <col min="8706" max="8706" width="65.42578125" style="4" customWidth="1"/>
    <col min="8707" max="8707" width="13.140625" style="4" customWidth="1"/>
    <col min="8708" max="8708" width="26" style="4" customWidth="1"/>
    <col min="8709" max="8709" width="23.42578125" style="4" customWidth="1"/>
    <col min="8710" max="8710" width="17.140625" style="4" customWidth="1"/>
    <col min="8711" max="8960" width="9.140625" style="4"/>
    <col min="8961" max="8961" width="22.7109375" style="4" customWidth="1"/>
    <col min="8962" max="8962" width="65.42578125" style="4" customWidth="1"/>
    <col min="8963" max="8963" width="13.140625" style="4" customWidth="1"/>
    <col min="8964" max="8964" width="26" style="4" customWidth="1"/>
    <col min="8965" max="8965" width="23.42578125" style="4" customWidth="1"/>
    <col min="8966" max="8966" width="17.140625" style="4" customWidth="1"/>
    <col min="8967" max="9216" width="9.140625" style="4"/>
    <col min="9217" max="9217" width="22.7109375" style="4" customWidth="1"/>
    <col min="9218" max="9218" width="65.42578125" style="4" customWidth="1"/>
    <col min="9219" max="9219" width="13.140625" style="4" customWidth="1"/>
    <col min="9220" max="9220" width="26" style="4" customWidth="1"/>
    <col min="9221" max="9221" width="23.42578125" style="4" customWidth="1"/>
    <col min="9222" max="9222" width="17.140625" style="4" customWidth="1"/>
    <col min="9223" max="9472" width="9.140625" style="4"/>
    <col min="9473" max="9473" width="22.7109375" style="4" customWidth="1"/>
    <col min="9474" max="9474" width="65.42578125" style="4" customWidth="1"/>
    <col min="9475" max="9475" width="13.140625" style="4" customWidth="1"/>
    <col min="9476" max="9476" width="26" style="4" customWidth="1"/>
    <col min="9477" max="9477" width="23.42578125" style="4" customWidth="1"/>
    <col min="9478" max="9478" width="17.140625" style="4" customWidth="1"/>
    <col min="9479" max="9728" width="9.140625" style="4"/>
    <col min="9729" max="9729" width="22.7109375" style="4" customWidth="1"/>
    <col min="9730" max="9730" width="65.42578125" style="4" customWidth="1"/>
    <col min="9731" max="9731" width="13.140625" style="4" customWidth="1"/>
    <col min="9732" max="9732" width="26" style="4" customWidth="1"/>
    <col min="9733" max="9733" width="23.42578125" style="4" customWidth="1"/>
    <col min="9734" max="9734" width="17.140625" style="4" customWidth="1"/>
    <col min="9735" max="9984" width="9.140625" style="4"/>
    <col min="9985" max="9985" width="22.7109375" style="4" customWidth="1"/>
    <col min="9986" max="9986" width="65.42578125" style="4" customWidth="1"/>
    <col min="9987" max="9987" width="13.140625" style="4" customWidth="1"/>
    <col min="9988" max="9988" width="26" style="4" customWidth="1"/>
    <col min="9989" max="9989" width="23.42578125" style="4" customWidth="1"/>
    <col min="9990" max="9990" width="17.140625" style="4" customWidth="1"/>
    <col min="9991" max="10240" width="9.140625" style="4"/>
    <col min="10241" max="10241" width="22.7109375" style="4" customWidth="1"/>
    <col min="10242" max="10242" width="65.42578125" style="4" customWidth="1"/>
    <col min="10243" max="10243" width="13.140625" style="4" customWidth="1"/>
    <col min="10244" max="10244" width="26" style="4" customWidth="1"/>
    <col min="10245" max="10245" width="23.42578125" style="4" customWidth="1"/>
    <col min="10246" max="10246" width="17.140625" style="4" customWidth="1"/>
    <col min="10247" max="10496" width="9.140625" style="4"/>
    <col min="10497" max="10497" width="22.7109375" style="4" customWidth="1"/>
    <col min="10498" max="10498" width="65.42578125" style="4" customWidth="1"/>
    <col min="10499" max="10499" width="13.140625" style="4" customWidth="1"/>
    <col min="10500" max="10500" width="26" style="4" customWidth="1"/>
    <col min="10501" max="10501" width="23.42578125" style="4" customWidth="1"/>
    <col min="10502" max="10502" width="17.140625" style="4" customWidth="1"/>
    <col min="10503" max="10752" width="9.140625" style="4"/>
    <col min="10753" max="10753" width="22.7109375" style="4" customWidth="1"/>
    <col min="10754" max="10754" width="65.42578125" style="4" customWidth="1"/>
    <col min="10755" max="10755" width="13.140625" style="4" customWidth="1"/>
    <col min="10756" max="10756" width="26" style="4" customWidth="1"/>
    <col min="10757" max="10757" width="23.42578125" style="4" customWidth="1"/>
    <col min="10758" max="10758" width="17.140625" style="4" customWidth="1"/>
    <col min="10759" max="11008" width="9.140625" style="4"/>
    <col min="11009" max="11009" width="22.7109375" style="4" customWidth="1"/>
    <col min="11010" max="11010" width="65.42578125" style="4" customWidth="1"/>
    <col min="11011" max="11011" width="13.140625" style="4" customWidth="1"/>
    <col min="11012" max="11012" width="26" style="4" customWidth="1"/>
    <col min="11013" max="11013" width="23.42578125" style="4" customWidth="1"/>
    <col min="11014" max="11014" width="17.140625" style="4" customWidth="1"/>
    <col min="11015" max="11264" width="9.140625" style="4"/>
    <col min="11265" max="11265" width="22.7109375" style="4" customWidth="1"/>
    <col min="11266" max="11266" width="65.42578125" style="4" customWidth="1"/>
    <col min="11267" max="11267" width="13.140625" style="4" customWidth="1"/>
    <col min="11268" max="11268" width="26" style="4" customWidth="1"/>
    <col min="11269" max="11269" width="23.42578125" style="4" customWidth="1"/>
    <col min="11270" max="11270" width="17.140625" style="4" customWidth="1"/>
    <col min="11271" max="11520" width="9.140625" style="4"/>
    <col min="11521" max="11521" width="22.7109375" style="4" customWidth="1"/>
    <col min="11522" max="11522" width="65.42578125" style="4" customWidth="1"/>
    <col min="11523" max="11523" width="13.140625" style="4" customWidth="1"/>
    <col min="11524" max="11524" width="26" style="4" customWidth="1"/>
    <col min="11525" max="11525" width="23.42578125" style="4" customWidth="1"/>
    <col min="11526" max="11526" width="17.140625" style="4" customWidth="1"/>
    <col min="11527" max="11776" width="9.140625" style="4"/>
    <col min="11777" max="11777" width="22.7109375" style="4" customWidth="1"/>
    <col min="11778" max="11778" width="65.42578125" style="4" customWidth="1"/>
    <col min="11779" max="11779" width="13.140625" style="4" customWidth="1"/>
    <col min="11780" max="11780" width="26" style="4" customWidth="1"/>
    <col min="11781" max="11781" width="23.42578125" style="4" customWidth="1"/>
    <col min="11782" max="11782" width="17.140625" style="4" customWidth="1"/>
    <col min="11783" max="12032" width="9.140625" style="4"/>
    <col min="12033" max="12033" width="22.7109375" style="4" customWidth="1"/>
    <col min="12034" max="12034" width="65.42578125" style="4" customWidth="1"/>
    <col min="12035" max="12035" width="13.140625" style="4" customWidth="1"/>
    <col min="12036" max="12036" width="26" style="4" customWidth="1"/>
    <col min="12037" max="12037" width="23.42578125" style="4" customWidth="1"/>
    <col min="12038" max="12038" width="17.140625" style="4" customWidth="1"/>
    <col min="12039" max="12288" width="9.140625" style="4"/>
    <col min="12289" max="12289" width="22.7109375" style="4" customWidth="1"/>
    <col min="12290" max="12290" width="65.42578125" style="4" customWidth="1"/>
    <col min="12291" max="12291" width="13.140625" style="4" customWidth="1"/>
    <col min="12292" max="12292" width="26" style="4" customWidth="1"/>
    <col min="12293" max="12293" width="23.42578125" style="4" customWidth="1"/>
    <col min="12294" max="12294" width="17.140625" style="4" customWidth="1"/>
    <col min="12295" max="12544" width="9.140625" style="4"/>
    <col min="12545" max="12545" width="22.7109375" style="4" customWidth="1"/>
    <col min="12546" max="12546" width="65.42578125" style="4" customWidth="1"/>
    <col min="12547" max="12547" width="13.140625" style="4" customWidth="1"/>
    <col min="12548" max="12548" width="26" style="4" customWidth="1"/>
    <col min="12549" max="12549" width="23.42578125" style="4" customWidth="1"/>
    <col min="12550" max="12550" width="17.140625" style="4" customWidth="1"/>
    <col min="12551" max="12800" width="9.140625" style="4"/>
    <col min="12801" max="12801" width="22.7109375" style="4" customWidth="1"/>
    <col min="12802" max="12802" width="65.42578125" style="4" customWidth="1"/>
    <col min="12803" max="12803" width="13.140625" style="4" customWidth="1"/>
    <col min="12804" max="12804" width="26" style="4" customWidth="1"/>
    <col min="12805" max="12805" width="23.42578125" style="4" customWidth="1"/>
    <col min="12806" max="12806" width="17.140625" style="4" customWidth="1"/>
    <col min="12807" max="13056" width="9.140625" style="4"/>
    <col min="13057" max="13057" width="22.7109375" style="4" customWidth="1"/>
    <col min="13058" max="13058" width="65.42578125" style="4" customWidth="1"/>
    <col min="13059" max="13059" width="13.140625" style="4" customWidth="1"/>
    <col min="13060" max="13060" width="26" style="4" customWidth="1"/>
    <col min="13061" max="13061" width="23.42578125" style="4" customWidth="1"/>
    <col min="13062" max="13062" width="17.140625" style="4" customWidth="1"/>
    <col min="13063" max="13312" width="9.140625" style="4"/>
    <col min="13313" max="13313" width="22.7109375" style="4" customWidth="1"/>
    <col min="13314" max="13314" width="65.42578125" style="4" customWidth="1"/>
    <col min="13315" max="13315" width="13.140625" style="4" customWidth="1"/>
    <col min="13316" max="13316" width="26" style="4" customWidth="1"/>
    <col min="13317" max="13317" width="23.42578125" style="4" customWidth="1"/>
    <col min="13318" max="13318" width="17.140625" style="4" customWidth="1"/>
    <col min="13319" max="13568" width="9.140625" style="4"/>
    <col min="13569" max="13569" width="22.7109375" style="4" customWidth="1"/>
    <col min="13570" max="13570" width="65.42578125" style="4" customWidth="1"/>
    <col min="13571" max="13571" width="13.140625" style="4" customWidth="1"/>
    <col min="13572" max="13572" width="26" style="4" customWidth="1"/>
    <col min="13573" max="13573" width="23.42578125" style="4" customWidth="1"/>
    <col min="13574" max="13574" width="17.140625" style="4" customWidth="1"/>
    <col min="13575" max="13824" width="9.140625" style="4"/>
    <col min="13825" max="13825" width="22.7109375" style="4" customWidth="1"/>
    <col min="13826" max="13826" width="65.42578125" style="4" customWidth="1"/>
    <col min="13827" max="13827" width="13.140625" style="4" customWidth="1"/>
    <col min="13828" max="13828" width="26" style="4" customWidth="1"/>
    <col min="13829" max="13829" width="23.42578125" style="4" customWidth="1"/>
    <col min="13830" max="13830" width="17.140625" style="4" customWidth="1"/>
    <col min="13831" max="14080" width="9.140625" style="4"/>
    <col min="14081" max="14081" width="22.7109375" style="4" customWidth="1"/>
    <col min="14082" max="14082" width="65.42578125" style="4" customWidth="1"/>
    <col min="14083" max="14083" width="13.140625" style="4" customWidth="1"/>
    <col min="14084" max="14084" width="26" style="4" customWidth="1"/>
    <col min="14085" max="14085" width="23.42578125" style="4" customWidth="1"/>
    <col min="14086" max="14086" width="17.140625" style="4" customWidth="1"/>
    <col min="14087" max="14336" width="9.140625" style="4"/>
    <col min="14337" max="14337" width="22.7109375" style="4" customWidth="1"/>
    <col min="14338" max="14338" width="65.42578125" style="4" customWidth="1"/>
    <col min="14339" max="14339" width="13.140625" style="4" customWidth="1"/>
    <col min="14340" max="14340" width="26" style="4" customWidth="1"/>
    <col min="14341" max="14341" width="23.42578125" style="4" customWidth="1"/>
    <col min="14342" max="14342" width="17.140625" style="4" customWidth="1"/>
    <col min="14343" max="14592" width="9.140625" style="4"/>
    <col min="14593" max="14593" width="22.7109375" style="4" customWidth="1"/>
    <col min="14594" max="14594" width="65.42578125" style="4" customWidth="1"/>
    <col min="14595" max="14595" width="13.140625" style="4" customWidth="1"/>
    <col min="14596" max="14596" width="26" style="4" customWidth="1"/>
    <col min="14597" max="14597" width="23.42578125" style="4" customWidth="1"/>
    <col min="14598" max="14598" width="17.140625" style="4" customWidth="1"/>
    <col min="14599" max="14848" width="9.140625" style="4"/>
    <col min="14849" max="14849" width="22.7109375" style="4" customWidth="1"/>
    <col min="14850" max="14850" width="65.42578125" style="4" customWidth="1"/>
    <col min="14851" max="14851" width="13.140625" style="4" customWidth="1"/>
    <col min="14852" max="14852" width="26" style="4" customWidth="1"/>
    <col min="14853" max="14853" width="23.42578125" style="4" customWidth="1"/>
    <col min="14854" max="14854" width="17.140625" style="4" customWidth="1"/>
    <col min="14855" max="15104" width="9.140625" style="4"/>
    <col min="15105" max="15105" width="22.7109375" style="4" customWidth="1"/>
    <col min="15106" max="15106" width="65.42578125" style="4" customWidth="1"/>
    <col min="15107" max="15107" width="13.140625" style="4" customWidth="1"/>
    <col min="15108" max="15108" width="26" style="4" customWidth="1"/>
    <col min="15109" max="15109" width="23.42578125" style="4" customWidth="1"/>
    <col min="15110" max="15110" width="17.140625" style="4" customWidth="1"/>
    <col min="15111" max="15360" width="9.140625" style="4"/>
    <col min="15361" max="15361" width="22.7109375" style="4" customWidth="1"/>
    <col min="15362" max="15362" width="65.42578125" style="4" customWidth="1"/>
    <col min="15363" max="15363" width="13.140625" style="4" customWidth="1"/>
    <col min="15364" max="15364" width="26" style="4" customWidth="1"/>
    <col min="15365" max="15365" width="23.42578125" style="4" customWidth="1"/>
    <col min="15366" max="15366" width="17.140625" style="4" customWidth="1"/>
    <col min="15367" max="15616" width="9.140625" style="4"/>
    <col min="15617" max="15617" width="22.7109375" style="4" customWidth="1"/>
    <col min="15618" max="15618" width="65.42578125" style="4" customWidth="1"/>
    <col min="15619" max="15619" width="13.140625" style="4" customWidth="1"/>
    <col min="15620" max="15620" width="26" style="4" customWidth="1"/>
    <col min="15621" max="15621" width="23.42578125" style="4" customWidth="1"/>
    <col min="15622" max="15622" width="17.140625" style="4" customWidth="1"/>
    <col min="15623" max="15872" width="9.140625" style="4"/>
    <col min="15873" max="15873" width="22.7109375" style="4" customWidth="1"/>
    <col min="15874" max="15874" width="65.42578125" style="4" customWidth="1"/>
    <col min="15875" max="15875" width="13.140625" style="4" customWidth="1"/>
    <col min="15876" max="15876" width="26" style="4" customWidth="1"/>
    <col min="15877" max="15877" width="23.42578125" style="4" customWidth="1"/>
    <col min="15878" max="15878" width="17.140625" style="4" customWidth="1"/>
    <col min="15879" max="16128" width="9.140625" style="4"/>
    <col min="16129" max="16129" width="22.7109375" style="4" customWidth="1"/>
    <col min="16130" max="16130" width="65.42578125" style="4" customWidth="1"/>
    <col min="16131" max="16131" width="13.140625" style="4" customWidth="1"/>
    <col min="16132" max="16132" width="26" style="4" customWidth="1"/>
    <col min="16133" max="16133" width="23.42578125" style="4" customWidth="1"/>
    <col min="16134" max="16134" width="17.140625" style="4" customWidth="1"/>
    <col min="16135" max="16384" width="9.140625" style="4"/>
  </cols>
  <sheetData>
    <row r="1" spans="1:6" s="9" customFormat="1" x14ac:dyDescent="0.2">
      <c r="A1" s="8" t="s">
        <v>239</v>
      </c>
      <c r="B1" s="8" t="s">
        <v>240</v>
      </c>
      <c r="C1" s="8" t="s">
        <v>241</v>
      </c>
      <c r="D1" s="8" t="s">
        <v>242</v>
      </c>
      <c r="E1" s="8" t="s">
        <v>243</v>
      </c>
      <c r="F1" s="8" t="s">
        <v>366</v>
      </c>
    </row>
    <row r="2" spans="1:6" x14ac:dyDescent="0.2">
      <c r="A2" s="7" t="s">
        <v>244</v>
      </c>
      <c r="B2" s="7" t="s">
        <v>245</v>
      </c>
      <c r="C2" s="7" t="s">
        <v>246</v>
      </c>
      <c r="D2" s="7" t="s">
        <v>247</v>
      </c>
      <c r="E2" s="7" t="s">
        <v>248</v>
      </c>
      <c r="F2" s="7">
        <v>188356.36363636301</v>
      </c>
    </row>
    <row r="3" spans="1:6" x14ac:dyDescent="0.2">
      <c r="A3" s="7" t="s">
        <v>249</v>
      </c>
      <c r="B3" s="7" t="s">
        <v>250</v>
      </c>
      <c r="C3" s="7" t="s">
        <v>246</v>
      </c>
      <c r="D3" s="7" t="s">
        <v>251</v>
      </c>
      <c r="E3" s="7" t="s">
        <v>252</v>
      </c>
      <c r="F3" s="7">
        <v>613118.18181818177</v>
      </c>
    </row>
    <row r="4" spans="1:6" x14ac:dyDescent="0.2">
      <c r="A4" s="7" t="s">
        <v>253</v>
      </c>
      <c r="B4" s="7" t="s">
        <v>254</v>
      </c>
      <c r="C4" s="7" t="s">
        <v>246</v>
      </c>
      <c r="D4" s="7" t="s">
        <v>251</v>
      </c>
      <c r="E4" s="7" t="s">
        <v>255</v>
      </c>
      <c r="F4" s="7">
        <v>704712.72727272694</v>
      </c>
    </row>
    <row r="5" spans="1:6" x14ac:dyDescent="0.2">
      <c r="A5" s="7" t="s">
        <v>256</v>
      </c>
      <c r="B5" s="7" t="s">
        <v>257</v>
      </c>
      <c r="C5" s="7" t="s">
        <v>246</v>
      </c>
      <c r="D5" s="7" t="s">
        <v>247</v>
      </c>
      <c r="E5" s="7" t="s">
        <v>252</v>
      </c>
      <c r="F5" s="7">
        <v>107056.36363636363</v>
      </c>
    </row>
    <row r="6" spans="1:6" x14ac:dyDescent="0.2">
      <c r="A6" s="7" t="s">
        <v>258</v>
      </c>
      <c r="B6" s="7" t="s">
        <v>259</v>
      </c>
      <c r="C6" s="7" t="s">
        <v>246</v>
      </c>
      <c r="D6" s="7" t="s">
        <v>247</v>
      </c>
      <c r="E6" s="7" t="s">
        <v>255</v>
      </c>
      <c r="F6" s="7">
        <v>40974.545454545456</v>
      </c>
    </row>
    <row r="7" spans="1:6" x14ac:dyDescent="0.2">
      <c r="A7" s="7" t="s">
        <v>260</v>
      </c>
      <c r="B7" s="7" t="s">
        <v>261</v>
      </c>
      <c r="C7" s="7" t="s">
        <v>246</v>
      </c>
      <c r="D7" s="7" t="s">
        <v>247</v>
      </c>
      <c r="E7" s="7" t="s">
        <v>262</v>
      </c>
      <c r="F7" s="7">
        <v>17541.81818181818</v>
      </c>
    </row>
    <row r="8" spans="1:6" x14ac:dyDescent="0.2">
      <c r="A8" s="7" t="s">
        <v>263</v>
      </c>
      <c r="B8" s="7" t="s">
        <v>264</v>
      </c>
      <c r="C8" s="7" t="s">
        <v>246</v>
      </c>
      <c r="D8" s="7" t="s">
        <v>251</v>
      </c>
      <c r="E8" s="7" t="s">
        <v>262</v>
      </c>
      <c r="F8" s="7">
        <v>875183.636363636</v>
      </c>
    </row>
    <row r="9" spans="1:6" x14ac:dyDescent="0.2">
      <c r="A9" s="7" t="s">
        <v>265</v>
      </c>
      <c r="B9" s="7" t="s">
        <v>266</v>
      </c>
      <c r="C9" s="7" t="s">
        <v>246</v>
      </c>
      <c r="D9" s="7" t="s">
        <v>247</v>
      </c>
      <c r="E9" s="7" t="s">
        <v>267</v>
      </c>
      <c r="F9" s="7">
        <v>74001.818181818177</v>
      </c>
    </row>
    <row r="10" spans="1:6" x14ac:dyDescent="0.2">
      <c r="A10" s="7" t="s">
        <v>268</v>
      </c>
      <c r="B10" s="7" t="s">
        <v>269</v>
      </c>
      <c r="C10" s="7" t="s">
        <v>246</v>
      </c>
      <c r="D10" s="7" t="s">
        <v>251</v>
      </c>
      <c r="E10" s="7" t="s">
        <v>267</v>
      </c>
      <c r="F10" s="7">
        <v>328581.81818181818</v>
      </c>
    </row>
    <row r="11" spans="1:6" x14ac:dyDescent="0.2">
      <c r="A11" s="7" t="s">
        <v>270</v>
      </c>
      <c r="B11" s="7" t="s">
        <v>271</v>
      </c>
      <c r="C11" s="7" t="s">
        <v>246</v>
      </c>
      <c r="D11" s="7" t="s">
        <v>251</v>
      </c>
      <c r="E11" s="7" t="s">
        <v>272</v>
      </c>
      <c r="F11" s="7">
        <v>44449.090909090912</v>
      </c>
    </row>
    <row r="12" spans="1:6" x14ac:dyDescent="0.2">
      <c r="A12" s="7" t="s">
        <v>273</v>
      </c>
      <c r="B12" s="7" t="s">
        <v>274</v>
      </c>
      <c r="C12" s="7" t="s">
        <v>246</v>
      </c>
      <c r="D12" s="7" t="s">
        <v>247</v>
      </c>
      <c r="E12" s="7" t="s">
        <v>275</v>
      </c>
      <c r="F12" s="7">
        <v>6643.636363636364</v>
      </c>
    </row>
    <row r="13" spans="1:6" x14ac:dyDescent="0.2">
      <c r="A13" s="7" t="s">
        <v>276</v>
      </c>
      <c r="B13" s="7" t="s">
        <v>277</v>
      </c>
      <c r="C13" s="7" t="s">
        <v>246</v>
      </c>
      <c r="D13" s="7" t="s">
        <v>251</v>
      </c>
      <c r="E13" s="7" t="s">
        <v>278</v>
      </c>
      <c r="F13" s="7">
        <v>683983.63636363635</v>
      </c>
    </row>
    <row r="14" spans="1:6" x14ac:dyDescent="0.2">
      <c r="A14" s="7" t="s">
        <v>279</v>
      </c>
      <c r="B14" s="7" t="s">
        <v>280</v>
      </c>
      <c r="C14" s="7" t="s">
        <v>246</v>
      </c>
      <c r="D14" s="7" t="s">
        <v>251</v>
      </c>
      <c r="E14" s="7" t="s">
        <v>281</v>
      </c>
      <c r="F14" s="7">
        <v>106150.90909090909</v>
      </c>
    </row>
    <row r="15" spans="1:6" x14ac:dyDescent="0.2">
      <c r="A15" s="7" t="s">
        <v>282</v>
      </c>
      <c r="B15" s="7" t="s">
        <v>283</v>
      </c>
      <c r="C15" s="7" t="s">
        <v>246</v>
      </c>
      <c r="D15" s="7" t="s">
        <v>251</v>
      </c>
      <c r="E15" s="7" t="s">
        <v>248</v>
      </c>
      <c r="F15" s="7">
        <v>25450.909090909092</v>
      </c>
    </row>
    <row r="16" spans="1:6" x14ac:dyDescent="0.2">
      <c r="A16" s="7" t="s">
        <v>284</v>
      </c>
      <c r="B16" s="7" t="s">
        <v>99</v>
      </c>
      <c r="C16" s="7" t="s">
        <v>246</v>
      </c>
      <c r="D16" s="7" t="s">
        <v>285</v>
      </c>
      <c r="E16" s="7" t="s">
        <v>286</v>
      </c>
      <c r="F16" s="7">
        <v>1709.090909090909</v>
      </c>
    </row>
    <row r="17" spans="1:6" x14ac:dyDescent="0.2">
      <c r="A17" s="7" t="s">
        <v>287</v>
      </c>
      <c r="B17" s="7" t="s">
        <v>288</v>
      </c>
      <c r="C17" s="7" t="s">
        <v>246</v>
      </c>
      <c r="D17" s="7" t="s">
        <v>285</v>
      </c>
      <c r="E17" s="7" t="s">
        <v>289</v>
      </c>
      <c r="F17" s="7">
        <v>13363.636363636364</v>
      </c>
    </row>
    <row r="18" spans="1:6" x14ac:dyDescent="0.2">
      <c r="A18" s="7" t="s">
        <v>290</v>
      </c>
      <c r="B18" s="7" t="s">
        <v>291</v>
      </c>
      <c r="C18" s="7" t="s">
        <v>246</v>
      </c>
      <c r="D18" s="7" t="s">
        <v>292</v>
      </c>
      <c r="E18" s="7" t="s">
        <v>291</v>
      </c>
      <c r="F18" s="7">
        <v>49727.272727272699</v>
      </c>
    </row>
    <row r="19" spans="1:6" x14ac:dyDescent="0.2">
      <c r="A19" s="7" t="s">
        <v>293</v>
      </c>
      <c r="B19" s="7" t="s">
        <v>294</v>
      </c>
      <c r="C19" s="7" t="s">
        <v>246</v>
      </c>
      <c r="D19" s="7" t="s">
        <v>292</v>
      </c>
      <c r="E19" s="7" t="s">
        <v>294</v>
      </c>
      <c r="F19" s="7">
        <v>287000</v>
      </c>
    </row>
    <row r="20" spans="1:6" x14ac:dyDescent="0.2">
      <c r="A20" s="7" t="s">
        <v>295</v>
      </c>
      <c r="B20" s="7" t="s">
        <v>296</v>
      </c>
      <c r="C20" s="7" t="s">
        <v>297</v>
      </c>
      <c r="D20" s="7" t="s">
        <v>298</v>
      </c>
      <c r="E20" s="7" t="s">
        <v>299</v>
      </c>
      <c r="F20" s="7">
        <v>41561.181818181816</v>
      </c>
    </row>
    <row r="21" spans="1:6" x14ac:dyDescent="0.2">
      <c r="A21" s="7" t="s">
        <v>300</v>
      </c>
      <c r="B21" s="7" t="s">
        <v>301</v>
      </c>
      <c r="C21" s="7" t="s">
        <v>297</v>
      </c>
      <c r="D21" s="7" t="s">
        <v>298</v>
      </c>
      <c r="E21" s="7" t="s">
        <v>302</v>
      </c>
      <c r="F21" s="7">
        <v>41269.090909090912</v>
      </c>
    </row>
    <row r="22" spans="1:6" x14ac:dyDescent="0.2">
      <c r="A22" s="7" t="s">
        <v>303</v>
      </c>
      <c r="B22" s="7" t="s">
        <v>304</v>
      </c>
      <c r="C22" s="7" t="s">
        <v>297</v>
      </c>
      <c r="D22" s="7" t="s">
        <v>298</v>
      </c>
      <c r="E22" s="7" t="s">
        <v>305</v>
      </c>
      <c r="F22" s="7">
        <v>61593.727272727272</v>
      </c>
    </row>
    <row r="23" spans="1:6" x14ac:dyDescent="0.2">
      <c r="A23" s="7" t="s">
        <v>306</v>
      </c>
      <c r="B23" s="7" t="s">
        <v>307</v>
      </c>
      <c r="C23" s="7" t="s">
        <v>297</v>
      </c>
      <c r="D23" s="7" t="s">
        <v>298</v>
      </c>
      <c r="E23" s="7" t="s">
        <v>308</v>
      </c>
      <c r="F23" s="7">
        <v>45469.090909090912</v>
      </c>
    </row>
    <row r="24" spans="1:6" x14ac:dyDescent="0.2">
      <c r="A24" s="7" t="s">
        <v>309</v>
      </c>
      <c r="B24" s="7" t="s">
        <v>310</v>
      </c>
      <c r="C24" s="7" t="s">
        <v>297</v>
      </c>
      <c r="D24" s="7" t="s">
        <v>311</v>
      </c>
      <c r="E24" s="7" t="s">
        <v>312</v>
      </c>
      <c r="F24" s="7">
        <v>1132520.9090909001</v>
      </c>
    </row>
    <row r="25" spans="1:6" x14ac:dyDescent="0.2">
      <c r="A25" s="7" t="s">
        <v>313</v>
      </c>
      <c r="B25" s="7" t="s">
        <v>314</v>
      </c>
      <c r="C25" s="7" t="s">
        <v>297</v>
      </c>
      <c r="D25" s="7" t="s">
        <v>311</v>
      </c>
      <c r="E25" s="7" t="s">
        <v>315</v>
      </c>
      <c r="F25" s="7">
        <v>12230</v>
      </c>
    </row>
    <row r="26" spans="1:6" x14ac:dyDescent="0.2">
      <c r="A26" s="7" t="s">
        <v>316</v>
      </c>
      <c r="B26" s="7" t="s">
        <v>317</v>
      </c>
      <c r="C26" s="7" t="s">
        <v>297</v>
      </c>
      <c r="D26" s="7" t="s">
        <v>298</v>
      </c>
      <c r="E26" s="7" t="s">
        <v>318</v>
      </c>
      <c r="F26" s="7">
        <v>1905233.63636363</v>
      </c>
    </row>
    <row r="27" spans="1:6" x14ac:dyDescent="0.2">
      <c r="A27" s="7" t="s">
        <v>319</v>
      </c>
      <c r="B27" s="7" t="s">
        <v>320</v>
      </c>
      <c r="C27" s="7" t="s">
        <v>297</v>
      </c>
      <c r="D27" s="7" t="s">
        <v>298</v>
      </c>
      <c r="E27" s="7" t="s">
        <v>321</v>
      </c>
      <c r="F27" s="7">
        <v>735190.90909090894</v>
      </c>
    </row>
    <row r="28" spans="1:6" x14ac:dyDescent="0.2">
      <c r="A28" s="7" t="s">
        <v>322</v>
      </c>
      <c r="B28" s="7" t="s">
        <v>323</v>
      </c>
      <c r="C28" s="7" t="s">
        <v>324</v>
      </c>
      <c r="D28" s="7" t="s">
        <v>325</v>
      </c>
      <c r="E28" s="7" t="s">
        <v>326</v>
      </c>
      <c r="F28" s="7">
        <v>4909.0909090909099</v>
      </c>
    </row>
    <row r="29" spans="1:6" x14ac:dyDescent="0.2">
      <c r="A29" s="7" t="s">
        <v>327</v>
      </c>
      <c r="B29" s="7" t="s">
        <v>328</v>
      </c>
      <c r="C29" s="7" t="s">
        <v>324</v>
      </c>
      <c r="D29" s="7" t="s">
        <v>329</v>
      </c>
      <c r="E29" s="7" t="s">
        <v>330</v>
      </c>
      <c r="F29" s="7">
        <v>273453.09090909088</v>
      </c>
    </row>
    <row r="30" spans="1:6" x14ac:dyDescent="0.2">
      <c r="A30" s="7" t="s">
        <v>331</v>
      </c>
      <c r="B30" s="7" t="s">
        <v>332</v>
      </c>
      <c r="C30" s="7" t="s">
        <v>324</v>
      </c>
      <c r="D30" s="7" t="s">
        <v>325</v>
      </c>
      <c r="E30" s="7" t="s">
        <v>333</v>
      </c>
      <c r="F30" s="7">
        <v>15070.545454545399</v>
      </c>
    </row>
    <row r="31" spans="1:6" x14ac:dyDescent="0.2">
      <c r="A31" s="7" t="s">
        <v>334</v>
      </c>
      <c r="B31" s="7" t="s">
        <v>335</v>
      </c>
      <c r="C31" s="7" t="s">
        <v>324</v>
      </c>
      <c r="D31" s="7" t="s">
        <v>329</v>
      </c>
      <c r="E31" s="7" t="s">
        <v>336</v>
      </c>
      <c r="F31" s="7">
        <v>20312.727272727272</v>
      </c>
    </row>
    <row r="32" spans="1:6" x14ac:dyDescent="0.2">
      <c r="A32" s="7" t="s">
        <v>337</v>
      </c>
      <c r="B32" s="7" t="s">
        <v>338</v>
      </c>
      <c r="C32" s="7" t="s">
        <v>324</v>
      </c>
      <c r="D32" s="7" t="s">
        <v>329</v>
      </c>
      <c r="E32" s="7" t="s">
        <v>339</v>
      </c>
      <c r="F32" s="7">
        <v>80889.4545454545</v>
      </c>
    </row>
    <row r="33" spans="1:6" x14ac:dyDescent="0.2">
      <c r="A33" s="7" t="s">
        <v>340</v>
      </c>
      <c r="B33" s="7" t="s">
        <v>341</v>
      </c>
      <c r="C33" s="7" t="s">
        <v>324</v>
      </c>
      <c r="D33" s="7" t="s">
        <v>329</v>
      </c>
      <c r="E33" s="7" t="s">
        <v>336</v>
      </c>
      <c r="F33" s="7">
        <v>405643.63636363635</v>
      </c>
    </row>
    <row r="34" spans="1:6" x14ac:dyDescent="0.2">
      <c r="A34" s="7" t="s">
        <v>342</v>
      </c>
      <c r="B34" s="7" t="s">
        <v>343</v>
      </c>
      <c r="C34" s="7" t="s">
        <v>324</v>
      </c>
      <c r="D34" s="7" t="s">
        <v>325</v>
      </c>
      <c r="E34" s="7" t="s">
        <v>344</v>
      </c>
      <c r="F34" s="7">
        <v>25605.8181818181</v>
      </c>
    </row>
    <row r="35" spans="1:6" x14ac:dyDescent="0.2">
      <c r="A35" s="7" t="s">
        <v>345</v>
      </c>
      <c r="B35" s="7" t="s">
        <v>346</v>
      </c>
      <c r="C35" s="7" t="s">
        <v>324</v>
      </c>
      <c r="D35" s="7" t="s">
        <v>325</v>
      </c>
      <c r="E35" s="7" t="s">
        <v>347</v>
      </c>
      <c r="F35" s="7">
        <v>513.63636363636363</v>
      </c>
    </row>
    <row r="36" spans="1:6" x14ac:dyDescent="0.2">
      <c r="A36" s="7" t="s">
        <v>348</v>
      </c>
      <c r="B36" s="7" t="s">
        <v>349</v>
      </c>
      <c r="C36" s="7" t="s">
        <v>324</v>
      </c>
      <c r="D36" s="7" t="s">
        <v>325</v>
      </c>
      <c r="E36" s="7" t="s">
        <v>350</v>
      </c>
      <c r="F36" s="7">
        <v>5990.9090909090901</v>
      </c>
    </row>
    <row r="37" spans="1:6" x14ac:dyDescent="0.2">
      <c r="A37" s="7" t="s">
        <v>351</v>
      </c>
      <c r="B37" s="7" t="s">
        <v>352</v>
      </c>
      <c r="C37" s="7" t="s">
        <v>324</v>
      </c>
      <c r="D37" s="7" t="s">
        <v>325</v>
      </c>
      <c r="E37" s="7" t="s">
        <v>353</v>
      </c>
      <c r="F37" s="7">
        <v>12290.909090908999</v>
      </c>
    </row>
    <row r="38" spans="1:6" x14ac:dyDescent="0.2">
      <c r="A38" s="7" t="s">
        <v>354</v>
      </c>
      <c r="B38" s="7" t="s">
        <v>355</v>
      </c>
      <c r="C38" s="7" t="s">
        <v>324</v>
      </c>
      <c r="D38" s="7" t="s">
        <v>325</v>
      </c>
      <c r="E38" s="7" t="s">
        <v>356</v>
      </c>
      <c r="F38" s="7">
        <v>18064</v>
      </c>
    </row>
    <row r="39" spans="1:6" x14ac:dyDescent="0.2">
      <c r="A39" s="7" t="s">
        <v>357</v>
      </c>
      <c r="B39" s="7" t="s">
        <v>358</v>
      </c>
      <c r="C39" s="7" t="s">
        <v>324</v>
      </c>
      <c r="D39" s="7" t="s">
        <v>329</v>
      </c>
      <c r="E39" s="7" t="s">
        <v>359</v>
      </c>
      <c r="F39" s="7">
        <v>1736.3636363636363</v>
      </c>
    </row>
    <row r="40" spans="1:6" x14ac:dyDescent="0.2">
      <c r="A40" s="7" t="s">
        <v>360</v>
      </c>
      <c r="B40" s="7" t="s">
        <v>361</v>
      </c>
      <c r="C40" s="7" t="s">
        <v>324</v>
      </c>
      <c r="D40" s="7" t="s">
        <v>325</v>
      </c>
      <c r="E40" s="7" t="s">
        <v>362</v>
      </c>
      <c r="F40" s="7">
        <v>4200</v>
      </c>
    </row>
    <row r="41" spans="1:6" x14ac:dyDescent="0.2">
      <c r="A41" s="7" t="s">
        <v>363</v>
      </c>
      <c r="B41" s="7" t="s">
        <v>114</v>
      </c>
      <c r="C41" s="7" t="s">
        <v>324</v>
      </c>
      <c r="D41" s="7" t="s">
        <v>364</v>
      </c>
      <c r="E41" s="7" t="s">
        <v>365</v>
      </c>
      <c r="F41" s="7">
        <v>114722.909090909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B602-1FE5-4FA4-981A-F50CB7E5C54D}">
  <dimension ref="A1:F13"/>
  <sheetViews>
    <sheetView workbookViewId="0">
      <selection activeCell="F13" sqref="F13"/>
    </sheetView>
  </sheetViews>
  <sheetFormatPr defaultRowHeight="15" x14ac:dyDescent="0.25"/>
  <cols>
    <col min="1" max="1" width="14.42578125" bestFit="1" customWidth="1"/>
    <col min="2" max="2" width="36.5703125" bestFit="1" customWidth="1"/>
    <col min="3" max="3" width="18.7109375" bestFit="1" customWidth="1"/>
    <col min="4" max="5" width="10.140625" bestFit="1" customWidth="1"/>
  </cols>
  <sheetData>
    <row r="1" spans="1:6" x14ac:dyDescent="0.25">
      <c r="A1" s="12" t="s">
        <v>0</v>
      </c>
      <c r="B1" t="s">
        <v>238</v>
      </c>
    </row>
    <row r="2" spans="1:6" x14ac:dyDescent="0.25">
      <c r="A2" s="12" t="s">
        <v>492</v>
      </c>
      <c r="B2" t="s">
        <v>297</v>
      </c>
    </row>
    <row r="4" spans="1:6" x14ac:dyDescent="0.25">
      <c r="A4" s="12" t="s">
        <v>493</v>
      </c>
      <c r="B4" t="s">
        <v>496</v>
      </c>
      <c r="C4" t="s">
        <v>495</v>
      </c>
      <c r="D4" t="s">
        <v>497</v>
      </c>
      <c r="E4" t="s">
        <v>498</v>
      </c>
      <c r="F4" t="s">
        <v>499</v>
      </c>
    </row>
    <row r="5" spans="1:6" x14ac:dyDescent="0.25">
      <c r="A5" s="13" t="s">
        <v>313</v>
      </c>
      <c r="B5" s="11">
        <v>46170</v>
      </c>
      <c r="C5" s="14">
        <v>126.79967293540474</v>
      </c>
      <c r="D5" s="11">
        <f>B5+C5</f>
        <v>46296.799672935405</v>
      </c>
      <c r="E5" s="11">
        <f>B5+C5*2</f>
        <v>46423.599345870811</v>
      </c>
      <c r="F5">
        <f>C5/30</f>
        <v>4.2266557645134917</v>
      </c>
    </row>
    <row r="6" spans="1:6" x14ac:dyDescent="0.25">
      <c r="A6" s="13" t="s">
        <v>309</v>
      </c>
      <c r="B6" s="11">
        <v>46170</v>
      </c>
      <c r="C6" s="14">
        <v>7.4937424394332464</v>
      </c>
      <c r="D6" s="11">
        <f t="shared" ref="D6:D12" si="0">B6+C6</f>
        <v>46177.49374243943</v>
      </c>
      <c r="E6" s="11">
        <f t="shared" ref="E6:E12" si="1">B6+C6*2</f>
        <v>46184.987484878868</v>
      </c>
      <c r="F6">
        <f t="shared" ref="F6:F12" si="2">C6/30</f>
        <v>0.24979141464777488</v>
      </c>
    </row>
    <row r="7" spans="1:6" x14ac:dyDescent="0.25">
      <c r="A7" s="13" t="s">
        <v>306</v>
      </c>
      <c r="B7" s="11">
        <v>46170</v>
      </c>
      <c r="C7" s="14">
        <v>92.931261996161226</v>
      </c>
      <c r="D7" s="11">
        <f t="shared" si="0"/>
        <v>46262.931261996164</v>
      </c>
      <c r="E7" s="11">
        <f t="shared" si="1"/>
        <v>46355.86252399232</v>
      </c>
      <c r="F7">
        <f t="shared" si="2"/>
        <v>3.0977087332053741</v>
      </c>
    </row>
    <row r="8" spans="1:6" x14ac:dyDescent="0.25">
      <c r="A8" s="13" t="s">
        <v>295</v>
      </c>
      <c r="B8" s="11">
        <v>46170</v>
      </c>
      <c r="C8" s="14">
        <v>150.63094277221094</v>
      </c>
      <c r="D8" s="11">
        <f t="shared" si="0"/>
        <v>46320.630942772208</v>
      </c>
      <c r="E8" s="11">
        <f t="shared" si="1"/>
        <v>46471.261885544423</v>
      </c>
      <c r="F8">
        <f t="shared" si="2"/>
        <v>5.0210314257403645</v>
      </c>
    </row>
    <row r="9" spans="1:6" x14ac:dyDescent="0.25">
      <c r="A9" s="13" t="s">
        <v>300</v>
      </c>
      <c r="B9" s="11">
        <v>46170</v>
      </c>
      <c r="C9" s="14">
        <v>50.921887390959554</v>
      </c>
      <c r="D9" s="11">
        <f t="shared" si="0"/>
        <v>46220.921887390963</v>
      </c>
      <c r="E9" s="11">
        <f t="shared" si="1"/>
        <v>46271.843774781919</v>
      </c>
      <c r="F9">
        <f t="shared" si="2"/>
        <v>1.6973962463653185</v>
      </c>
    </row>
    <row r="10" spans="1:6" x14ac:dyDescent="0.25">
      <c r="A10" s="13" t="s">
        <v>303</v>
      </c>
      <c r="B10" s="11">
        <v>46170</v>
      </c>
      <c r="C10" s="14">
        <v>193.11057353833257</v>
      </c>
      <c r="D10" s="11">
        <f t="shared" si="0"/>
        <v>46363.110573538332</v>
      </c>
      <c r="E10" s="11">
        <f t="shared" si="1"/>
        <v>46556.221147076663</v>
      </c>
      <c r="F10">
        <f t="shared" si="2"/>
        <v>6.4370191179444189</v>
      </c>
    </row>
    <row r="11" spans="1:6" x14ac:dyDescent="0.25">
      <c r="A11" s="13" t="s">
        <v>316</v>
      </c>
      <c r="B11" s="11">
        <v>46170</v>
      </c>
      <c r="C11" s="14">
        <v>23.367212897296859</v>
      </c>
      <c r="D11" s="11">
        <f t="shared" si="0"/>
        <v>46193.367212897298</v>
      </c>
      <c r="E11" s="11">
        <f t="shared" si="1"/>
        <v>46216.734425794595</v>
      </c>
      <c r="F11">
        <f t="shared" si="2"/>
        <v>0.77890709657656199</v>
      </c>
    </row>
    <row r="12" spans="1:6" x14ac:dyDescent="0.25">
      <c r="A12" s="13" t="s">
        <v>319</v>
      </c>
      <c r="B12" s="11">
        <v>46170</v>
      </c>
      <c r="C12" s="14">
        <v>194.07408094372519</v>
      </c>
      <c r="D12" s="11">
        <f t="shared" si="0"/>
        <v>46364.074080943727</v>
      </c>
      <c r="E12" s="11">
        <f t="shared" si="1"/>
        <v>46558.148161887453</v>
      </c>
      <c r="F12">
        <f t="shared" si="2"/>
        <v>6.4691360314575066</v>
      </c>
    </row>
    <row r="13" spans="1:6" x14ac:dyDescent="0.25">
      <c r="A13" s="13" t="s">
        <v>494</v>
      </c>
      <c r="B13" s="11">
        <v>46170</v>
      </c>
      <c r="C13" s="14">
        <v>839.32937491352391</v>
      </c>
      <c r="D13" s="11"/>
      <c r="E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Storage Report</vt:lpstr>
      <vt:lpstr>Product Details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</dc:creator>
  <cp:lastModifiedBy>Koen PETERS</cp:lastModifiedBy>
  <dcterms:created xsi:type="dcterms:W3CDTF">2020-03-27T11:52:30Z</dcterms:created>
  <dcterms:modified xsi:type="dcterms:W3CDTF">2026-03-04T09:16:16Z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2026-02-11T13:52:50Z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9fc42437-a349-47e3-bdf2-279d000fe342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